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業務関係\"/>
    </mc:Choice>
  </mc:AlternateContent>
  <xr:revisionPtr revIDLastSave="0" documentId="8_{ABEA0A00-00F1-423A-97D9-2A5A0FD44688}" xr6:coauthVersionLast="47" xr6:coauthVersionMax="47" xr10:uidLastSave="{00000000-0000-0000-0000-000000000000}"/>
  <bookViews>
    <workbookView xWindow="1185" yWindow="435" windowWidth="18465" windowHeight="20445" xr2:uid="{8F30A460-B44B-4FBC-A012-E1A43261284D}"/>
  </bookViews>
  <sheets>
    <sheet name="使い方" sheetId="1" r:id="rId1"/>
    <sheet name="末日締" sheetId="2" r:id="rId2"/>
    <sheet name="20日締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/>
  <c r="AQ43" i="3" l="1"/>
  <c r="AJ43" i="3"/>
  <c r="AH43" i="3"/>
  <c r="AF43" i="3"/>
  <c r="AD43" i="3"/>
  <c r="AB43" i="3"/>
  <c r="Z43" i="3"/>
  <c r="X43" i="3"/>
  <c r="AN43" i="3" s="1"/>
  <c r="AS43" i="3" s="1"/>
  <c r="AQ42" i="3"/>
  <c r="AJ42" i="3"/>
  <c r="AH42" i="3"/>
  <c r="AF42" i="3"/>
  <c r="AD42" i="3"/>
  <c r="AB42" i="3"/>
  <c r="Z42" i="3"/>
  <c r="AN42" i="3" s="1"/>
  <c r="AS42" i="3" s="1"/>
  <c r="X42" i="3"/>
  <c r="AQ41" i="3"/>
  <c r="AJ41" i="3"/>
  <c r="AH41" i="3"/>
  <c r="AF41" i="3"/>
  <c r="AD41" i="3"/>
  <c r="AB41" i="3"/>
  <c r="Z41" i="3"/>
  <c r="AN41" i="3" s="1"/>
  <c r="AS41" i="3" s="1"/>
  <c r="X41" i="3"/>
  <c r="AQ40" i="3"/>
  <c r="AJ40" i="3"/>
  <c r="AH40" i="3"/>
  <c r="AF40" i="3"/>
  <c r="AD40" i="3"/>
  <c r="AB40" i="3"/>
  <c r="Z40" i="3"/>
  <c r="AN40" i="3" s="1"/>
  <c r="AS40" i="3" s="1"/>
  <c r="X40" i="3"/>
  <c r="AQ39" i="3"/>
  <c r="AJ39" i="3"/>
  <c r="AH39" i="3"/>
  <c r="AF39" i="3"/>
  <c r="AD39" i="3"/>
  <c r="AB39" i="3"/>
  <c r="Z39" i="3"/>
  <c r="AN39" i="3" s="1"/>
  <c r="AS39" i="3" s="1"/>
  <c r="X39" i="3"/>
  <c r="AQ38" i="3"/>
  <c r="AJ38" i="3"/>
  <c r="AH38" i="3"/>
  <c r="AF38" i="3"/>
  <c r="AD38" i="3"/>
  <c r="AB38" i="3"/>
  <c r="Z38" i="3"/>
  <c r="AN38" i="3" s="1"/>
  <c r="AS38" i="3" s="1"/>
  <c r="X38" i="3"/>
  <c r="AQ37" i="3"/>
  <c r="AJ37" i="3"/>
  <c r="AH37" i="3"/>
  <c r="AF37" i="3"/>
  <c r="AD37" i="3"/>
  <c r="AB37" i="3"/>
  <c r="Z37" i="3"/>
  <c r="AN37" i="3" s="1"/>
  <c r="AS37" i="3" s="1"/>
  <c r="X37" i="3"/>
  <c r="AQ36" i="3"/>
  <c r="AJ36" i="3"/>
  <c r="AH36" i="3"/>
  <c r="AF36" i="3"/>
  <c r="AD36" i="3"/>
  <c r="AB36" i="3"/>
  <c r="Z36" i="3"/>
  <c r="AN36" i="3" s="1"/>
  <c r="AS36" i="3" s="1"/>
  <c r="X36" i="3"/>
  <c r="AQ35" i="3"/>
  <c r="AJ35" i="3"/>
  <c r="AH35" i="3"/>
  <c r="AF35" i="3"/>
  <c r="AD35" i="3"/>
  <c r="AB35" i="3"/>
  <c r="Z35" i="3"/>
  <c r="AN35" i="3" s="1"/>
  <c r="AS35" i="3" s="1"/>
  <c r="X35" i="3"/>
  <c r="AQ34" i="3"/>
  <c r="AJ34" i="3"/>
  <c r="AH34" i="3"/>
  <c r="AF34" i="3"/>
  <c r="AD34" i="3"/>
  <c r="AB34" i="3"/>
  <c r="Z34" i="3"/>
  <c r="AN34" i="3" s="1"/>
  <c r="AS34" i="3" s="1"/>
  <c r="X34" i="3"/>
  <c r="AQ33" i="3"/>
  <c r="AJ33" i="3"/>
  <c r="AH33" i="3"/>
  <c r="AF33" i="3"/>
  <c r="AD33" i="3"/>
  <c r="AB33" i="3"/>
  <c r="Z33" i="3"/>
  <c r="AN33" i="3" s="1"/>
  <c r="AS33" i="3" s="1"/>
  <c r="X33" i="3"/>
  <c r="AQ32" i="3"/>
  <c r="AJ32" i="3"/>
  <c r="AH32" i="3"/>
  <c r="AF32" i="3"/>
  <c r="AD32" i="3"/>
  <c r="AB32" i="3"/>
  <c r="Z32" i="3"/>
  <c r="AN32" i="3" s="1"/>
  <c r="AS32" i="3" s="1"/>
  <c r="X32" i="3"/>
  <c r="AQ31" i="3"/>
  <c r="AJ31" i="3"/>
  <c r="AH31" i="3"/>
  <c r="AF31" i="3"/>
  <c r="AD31" i="3"/>
  <c r="AB31" i="3"/>
  <c r="Z31" i="3"/>
  <c r="AN31" i="3" s="1"/>
  <c r="AS31" i="3" s="1"/>
  <c r="X31" i="3"/>
  <c r="AQ30" i="3"/>
  <c r="AJ30" i="3"/>
  <c r="AH30" i="3"/>
  <c r="AF30" i="3"/>
  <c r="AD30" i="3"/>
  <c r="AB30" i="3"/>
  <c r="Z30" i="3"/>
  <c r="AN30" i="3" s="1"/>
  <c r="AS30" i="3" s="1"/>
  <c r="X30" i="3"/>
  <c r="AQ29" i="3"/>
  <c r="AJ29" i="3"/>
  <c r="AH29" i="3"/>
  <c r="AF29" i="3"/>
  <c r="AD29" i="3"/>
  <c r="AB29" i="3"/>
  <c r="Z29" i="3"/>
  <c r="AN29" i="3" s="1"/>
  <c r="AS29" i="3" s="1"/>
  <c r="X29" i="3"/>
  <c r="AQ28" i="3"/>
  <c r="AJ28" i="3"/>
  <c r="AH28" i="3"/>
  <c r="AF28" i="3"/>
  <c r="AD28" i="3"/>
  <c r="AB28" i="3"/>
  <c r="Z28" i="3"/>
  <c r="AN28" i="3" s="1"/>
  <c r="AS28" i="3" s="1"/>
  <c r="X28" i="3"/>
  <c r="AQ27" i="3"/>
  <c r="AJ27" i="3"/>
  <c r="AH27" i="3"/>
  <c r="AF27" i="3"/>
  <c r="AD27" i="3"/>
  <c r="AB27" i="3"/>
  <c r="Z27" i="3"/>
  <c r="AN27" i="3" s="1"/>
  <c r="AS27" i="3" s="1"/>
  <c r="X27" i="3"/>
  <c r="AQ26" i="3"/>
  <c r="AJ26" i="3"/>
  <c r="AH26" i="3"/>
  <c r="AF26" i="3"/>
  <c r="AD26" i="3"/>
  <c r="AB26" i="3"/>
  <c r="Z26" i="3"/>
  <c r="AN26" i="3" s="1"/>
  <c r="AS26" i="3" s="1"/>
  <c r="X26" i="3"/>
  <c r="AQ25" i="3"/>
  <c r="AJ25" i="3"/>
  <c r="AH25" i="3"/>
  <c r="AF25" i="3"/>
  <c r="AD25" i="3"/>
  <c r="AB25" i="3"/>
  <c r="Z25" i="3"/>
  <c r="AN25" i="3" s="1"/>
  <c r="AS25" i="3" s="1"/>
  <c r="X25" i="3"/>
  <c r="AQ24" i="3"/>
  <c r="AJ24" i="3"/>
  <c r="AH24" i="3"/>
  <c r="AF24" i="3"/>
  <c r="AD24" i="3"/>
  <c r="AB24" i="3"/>
  <c r="Z24" i="3"/>
  <c r="AN24" i="3" s="1"/>
  <c r="AS24" i="3" s="1"/>
  <c r="X24" i="3"/>
  <c r="AQ23" i="3"/>
  <c r="AJ23" i="3"/>
  <c r="AH23" i="3"/>
  <c r="AF23" i="3"/>
  <c r="AD23" i="3"/>
  <c r="AB23" i="3"/>
  <c r="Z23" i="3"/>
  <c r="AN23" i="3" s="1"/>
  <c r="AS23" i="3" s="1"/>
  <c r="X23" i="3"/>
  <c r="AQ22" i="3"/>
  <c r="AJ22" i="3"/>
  <c r="AH22" i="3"/>
  <c r="AF22" i="3"/>
  <c r="AD22" i="3"/>
  <c r="AB22" i="3"/>
  <c r="Z22" i="3"/>
  <c r="AN22" i="3" s="1"/>
  <c r="AS22" i="3" s="1"/>
  <c r="X22" i="3"/>
  <c r="AQ21" i="3"/>
  <c r="AJ21" i="3"/>
  <c r="AH21" i="3"/>
  <c r="AF21" i="3"/>
  <c r="AD21" i="3"/>
  <c r="AB21" i="3"/>
  <c r="Z21" i="3"/>
  <c r="AN21" i="3" s="1"/>
  <c r="AS21" i="3" s="1"/>
  <c r="X21" i="3"/>
  <c r="AQ20" i="3"/>
  <c r="AJ20" i="3"/>
  <c r="AH20" i="3"/>
  <c r="AF20" i="3"/>
  <c r="AD20" i="3"/>
  <c r="AB20" i="3"/>
  <c r="Z20" i="3"/>
  <c r="AN20" i="3" s="1"/>
  <c r="AS20" i="3" s="1"/>
  <c r="X20" i="3"/>
  <c r="AQ19" i="3"/>
  <c r="AJ19" i="3"/>
  <c r="AH19" i="3"/>
  <c r="AF19" i="3"/>
  <c r="AD19" i="3"/>
  <c r="AB19" i="3"/>
  <c r="Z19" i="3"/>
  <c r="AN19" i="3" s="1"/>
  <c r="AS19" i="3" s="1"/>
  <c r="X19" i="3"/>
  <c r="AQ18" i="3"/>
  <c r="AJ18" i="3"/>
  <c r="AH18" i="3"/>
  <c r="AF18" i="3"/>
  <c r="AD18" i="3"/>
  <c r="AB18" i="3"/>
  <c r="Z18" i="3"/>
  <c r="AN18" i="3" s="1"/>
  <c r="AS18" i="3" s="1"/>
  <c r="X18" i="3"/>
  <c r="AQ17" i="3"/>
  <c r="AN17" i="3"/>
  <c r="AS17" i="3" s="1"/>
  <c r="AJ17" i="3"/>
  <c r="AH17" i="3"/>
  <c r="AF17" i="3"/>
  <c r="AD17" i="3"/>
  <c r="AB17" i="3"/>
  <c r="Z17" i="3"/>
  <c r="X17" i="3"/>
  <c r="AQ16" i="3"/>
  <c r="AJ16" i="3"/>
  <c r="AH16" i="3"/>
  <c r="AF16" i="3"/>
  <c r="AD16" i="3"/>
  <c r="AB16" i="3"/>
  <c r="Z16" i="3"/>
  <c r="AN16" i="3" s="1"/>
  <c r="AS16" i="3" s="1"/>
  <c r="X16" i="3"/>
  <c r="AQ15" i="3"/>
  <c r="AJ15" i="3"/>
  <c r="AH15" i="3"/>
  <c r="AF15" i="3"/>
  <c r="AD15" i="3"/>
  <c r="AB15" i="3"/>
  <c r="Z15" i="3"/>
  <c r="AN15" i="3" s="1"/>
  <c r="AS15" i="3" s="1"/>
  <c r="X15" i="3"/>
  <c r="AQ14" i="3"/>
  <c r="AJ14" i="3"/>
  <c r="AH14" i="3"/>
  <c r="AF14" i="3"/>
  <c r="AD14" i="3"/>
  <c r="AB14" i="3"/>
  <c r="Z14" i="3"/>
  <c r="AN14" i="3" s="1"/>
  <c r="AS14" i="3" s="1"/>
  <c r="X14" i="3"/>
  <c r="AQ13" i="3"/>
  <c r="AJ13" i="3"/>
  <c r="AH13" i="3"/>
  <c r="AK8" i="3" s="1"/>
  <c r="AF13" i="3"/>
  <c r="AD13" i="3"/>
  <c r="AA8" i="3" s="1"/>
  <c r="AB13" i="3"/>
  <c r="Z13" i="3"/>
  <c r="AN13" i="3" s="1"/>
  <c r="X13" i="3"/>
  <c r="C13" i="3"/>
  <c r="A13" i="3"/>
  <c r="A14" i="3" s="1"/>
  <c r="AQ12" i="3"/>
  <c r="AP8" i="3"/>
  <c r="AF8" i="3"/>
  <c r="O8" i="3"/>
  <c r="AO6" i="3"/>
  <c r="AG6" i="3"/>
  <c r="Y6" i="3"/>
  <c r="Q6" i="3"/>
  <c r="I6" i="3"/>
  <c r="A6" i="3"/>
  <c r="AQ43" i="2"/>
  <c r="AJ43" i="2"/>
  <c r="AH43" i="2"/>
  <c r="AF43" i="2"/>
  <c r="AD43" i="2"/>
  <c r="AB43" i="2"/>
  <c r="Z43" i="2"/>
  <c r="X43" i="2"/>
  <c r="AQ42" i="2"/>
  <c r="AJ42" i="2"/>
  <c r="AH42" i="2"/>
  <c r="AF42" i="2"/>
  <c r="AD42" i="2"/>
  <c r="AB42" i="2"/>
  <c r="Z42" i="2"/>
  <c r="X42" i="2"/>
  <c r="AQ41" i="2"/>
  <c r="AJ41" i="2"/>
  <c r="AH41" i="2"/>
  <c r="AF41" i="2"/>
  <c r="AD41" i="2"/>
  <c r="AB41" i="2"/>
  <c r="Z41" i="2"/>
  <c r="X41" i="2"/>
  <c r="AQ40" i="2"/>
  <c r="AJ40" i="2"/>
  <c r="AH40" i="2"/>
  <c r="AF40" i="2"/>
  <c r="AD40" i="2"/>
  <c r="AB40" i="2"/>
  <c r="Z40" i="2"/>
  <c r="X40" i="2"/>
  <c r="AQ39" i="2"/>
  <c r="AJ39" i="2"/>
  <c r="AH39" i="2"/>
  <c r="AF39" i="2"/>
  <c r="AD39" i="2"/>
  <c r="AB39" i="2"/>
  <c r="Z39" i="2"/>
  <c r="X39" i="2"/>
  <c r="AQ38" i="2"/>
  <c r="AJ38" i="2"/>
  <c r="AH38" i="2"/>
  <c r="AF38" i="2"/>
  <c r="AD38" i="2"/>
  <c r="AB38" i="2"/>
  <c r="Z38" i="2"/>
  <c r="X38" i="2"/>
  <c r="AQ37" i="2"/>
  <c r="AJ37" i="2"/>
  <c r="AH37" i="2"/>
  <c r="AF37" i="2"/>
  <c r="AD37" i="2"/>
  <c r="AB37" i="2"/>
  <c r="Z37" i="2"/>
  <c r="X37" i="2"/>
  <c r="AQ36" i="2"/>
  <c r="AJ36" i="2"/>
  <c r="AH36" i="2"/>
  <c r="AF36" i="2"/>
  <c r="AD36" i="2"/>
  <c r="AB36" i="2"/>
  <c r="Z36" i="2"/>
  <c r="X36" i="2"/>
  <c r="AQ35" i="2"/>
  <c r="AJ35" i="2"/>
  <c r="AH35" i="2"/>
  <c r="AF35" i="2"/>
  <c r="AD35" i="2"/>
  <c r="AB35" i="2"/>
  <c r="Z35" i="2"/>
  <c r="X35" i="2"/>
  <c r="AQ34" i="2"/>
  <c r="AJ34" i="2"/>
  <c r="AH34" i="2"/>
  <c r="AF34" i="2"/>
  <c r="AD34" i="2"/>
  <c r="AB34" i="2"/>
  <c r="Z34" i="2"/>
  <c r="X34" i="2"/>
  <c r="AQ33" i="2"/>
  <c r="AJ33" i="2"/>
  <c r="AH33" i="2"/>
  <c r="AF33" i="2"/>
  <c r="AD33" i="2"/>
  <c r="AB33" i="2"/>
  <c r="Z33" i="2"/>
  <c r="X33" i="2"/>
  <c r="AQ32" i="2"/>
  <c r="AJ32" i="2"/>
  <c r="AH32" i="2"/>
  <c r="AF32" i="2"/>
  <c r="AD32" i="2"/>
  <c r="AB32" i="2"/>
  <c r="Z32" i="2"/>
  <c r="X32" i="2"/>
  <c r="AQ31" i="2"/>
  <c r="AJ31" i="2"/>
  <c r="AH31" i="2"/>
  <c r="AF31" i="2"/>
  <c r="AD31" i="2"/>
  <c r="AB31" i="2"/>
  <c r="Z31" i="2"/>
  <c r="X31" i="2"/>
  <c r="AQ30" i="2"/>
  <c r="AJ30" i="2"/>
  <c r="AH30" i="2"/>
  <c r="AF30" i="2"/>
  <c r="AD30" i="2"/>
  <c r="AB30" i="2"/>
  <c r="Z30" i="2"/>
  <c r="X30" i="2"/>
  <c r="AQ29" i="2"/>
  <c r="AJ29" i="2"/>
  <c r="AH29" i="2"/>
  <c r="AF29" i="2"/>
  <c r="AD29" i="2"/>
  <c r="AB29" i="2"/>
  <c r="Z29" i="2"/>
  <c r="X29" i="2"/>
  <c r="AQ28" i="2"/>
  <c r="AJ28" i="2"/>
  <c r="AH28" i="2"/>
  <c r="AF28" i="2"/>
  <c r="AD28" i="2"/>
  <c r="AB28" i="2"/>
  <c r="Z28" i="2"/>
  <c r="X28" i="2"/>
  <c r="AQ27" i="2"/>
  <c r="AJ27" i="2"/>
  <c r="AH27" i="2"/>
  <c r="AF27" i="2"/>
  <c r="AD27" i="2"/>
  <c r="AB27" i="2"/>
  <c r="Z27" i="2"/>
  <c r="X27" i="2"/>
  <c r="AQ26" i="2"/>
  <c r="AJ26" i="2"/>
  <c r="AH26" i="2"/>
  <c r="AF26" i="2"/>
  <c r="AD26" i="2"/>
  <c r="AB26" i="2"/>
  <c r="Z26" i="2"/>
  <c r="X26" i="2"/>
  <c r="AQ25" i="2"/>
  <c r="AJ25" i="2"/>
  <c r="AH25" i="2"/>
  <c r="AF25" i="2"/>
  <c r="AD25" i="2"/>
  <c r="AB25" i="2"/>
  <c r="Z25" i="2"/>
  <c r="X25" i="2"/>
  <c r="AQ24" i="2"/>
  <c r="AJ24" i="2"/>
  <c r="AH24" i="2"/>
  <c r="AF24" i="2"/>
  <c r="AD24" i="2"/>
  <c r="AB24" i="2"/>
  <c r="Z24" i="2"/>
  <c r="X24" i="2"/>
  <c r="AQ23" i="2"/>
  <c r="AJ23" i="2"/>
  <c r="AH23" i="2"/>
  <c r="AF23" i="2"/>
  <c r="AD23" i="2"/>
  <c r="AB23" i="2"/>
  <c r="Z23" i="2"/>
  <c r="X23" i="2"/>
  <c r="AQ22" i="2"/>
  <c r="AJ22" i="2"/>
  <c r="AH22" i="2"/>
  <c r="AF22" i="2"/>
  <c r="AD22" i="2"/>
  <c r="AB22" i="2"/>
  <c r="Z22" i="2"/>
  <c r="X22" i="2"/>
  <c r="AQ21" i="2"/>
  <c r="AJ21" i="2"/>
  <c r="AH21" i="2"/>
  <c r="AF21" i="2"/>
  <c r="AD21" i="2"/>
  <c r="AB21" i="2"/>
  <c r="Z21" i="2"/>
  <c r="X21" i="2"/>
  <c r="AQ20" i="2"/>
  <c r="AJ20" i="2"/>
  <c r="AH20" i="2"/>
  <c r="AF20" i="2"/>
  <c r="AD20" i="2"/>
  <c r="AB20" i="2"/>
  <c r="Z20" i="2"/>
  <c r="X20" i="2"/>
  <c r="AQ19" i="2"/>
  <c r="AJ19" i="2"/>
  <c r="AH19" i="2"/>
  <c r="AF19" i="2"/>
  <c r="AD19" i="2"/>
  <c r="AB19" i="2"/>
  <c r="Z19" i="2"/>
  <c r="X19" i="2"/>
  <c r="AQ18" i="2"/>
  <c r="AJ18" i="2"/>
  <c r="AH18" i="2"/>
  <c r="AF18" i="2"/>
  <c r="AD18" i="2"/>
  <c r="AB18" i="2"/>
  <c r="Z18" i="2"/>
  <c r="X18" i="2"/>
  <c r="AQ17" i="2"/>
  <c r="AJ17" i="2"/>
  <c r="AH17" i="2"/>
  <c r="AF17" i="2"/>
  <c r="AD17" i="2"/>
  <c r="AB17" i="2"/>
  <c r="Z17" i="2"/>
  <c r="X17" i="2"/>
  <c r="AQ16" i="2"/>
  <c r="AJ16" i="2"/>
  <c r="AH16" i="2"/>
  <c r="AF16" i="2"/>
  <c r="AD16" i="2"/>
  <c r="AB16" i="2"/>
  <c r="Z16" i="2"/>
  <c r="X16" i="2"/>
  <c r="AQ15" i="2"/>
  <c r="AJ15" i="2"/>
  <c r="AH15" i="2"/>
  <c r="AF15" i="2"/>
  <c r="AD15" i="2"/>
  <c r="AB15" i="2"/>
  <c r="Z15" i="2"/>
  <c r="X15" i="2"/>
  <c r="AQ14" i="2"/>
  <c r="AJ14" i="2"/>
  <c r="AH14" i="2"/>
  <c r="AF14" i="2"/>
  <c r="AD14" i="2"/>
  <c r="AB14" i="2"/>
  <c r="Z14" i="2"/>
  <c r="X14" i="2"/>
  <c r="AQ13" i="2"/>
  <c r="AJ13" i="2"/>
  <c r="AH13" i="2"/>
  <c r="AF13" i="2"/>
  <c r="AD13" i="2"/>
  <c r="AA8" i="2" s="1"/>
  <c r="AB13" i="2"/>
  <c r="Z13" i="2"/>
  <c r="X13" i="2"/>
  <c r="C13" i="2"/>
  <c r="O8" i="2"/>
  <c r="AO6" i="2"/>
  <c r="AG6" i="2"/>
  <c r="Y6" i="2"/>
  <c r="Q6" i="2"/>
  <c r="I6" i="2"/>
  <c r="A6" i="2"/>
  <c r="AQ12" i="2" l="1"/>
  <c r="C14" i="3"/>
  <c r="A15" i="3"/>
  <c r="A8" i="3"/>
  <c r="AS13" i="3"/>
  <c r="AS12" i="3" s="1"/>
  <c r="H8" i="3" s="1"/>
  <c r="V8" i="3"/>
  <c r="AP8" i="2"/>
  <c r="AN19" i="2"/>
  <c r="AS19" i="2" s="1"/>
  <c r="AN20" i="2"/>
  <c r="AS20" i="2" s="1"/>
  <c r="AN29" i="2"/>
  <c r="AS29" i="2" s="1"/>
  <c r="AN32" i="2"/>
  <c r="AS32" i="2" s="1"/>
  <c r="AN35" i="2"/>
  <c r="AS35" i="2" s="1"/>
  <c r="AN38" i="2"/>
  <c r="AS38" i="2" s="1"/>
  <c r="AN41" i="2"/>
  <c r="AS41" i="2" s="1"/>
  <c r="AF8" i="2"/>
  <c r="AN14" i="2"/>
  <c r="AS14" i="2" s="1"/>
  <c r="AN17" i="2"/>
  <c r="AS17" i="2" s="1"/>
  <c r="AN22" i="2"/>
  <c r="AS22" i="2" s="1"/>
  <c r="AN25" i="2"/>
  <c r="AS25" i="2" s="1"/>
  <c r="AN28" i="2"/>
  <c r="AS28" i="2" s="1"/>
  <c r="AN31" i="2"/>
  <c r="AS31" i="2" s="1"/>
  <c r="AN34" i="2"/>
  <c r="AS34" i="2" s="1"/>
  <c r="AN37" i="2"/>
  <c r="AS37" i="2" s="1"/>
  <c r="AN40" i="2"/>
  <c r="AS40" i="2" s="1"/>
  <c r="AK8" i="2"/>
  <c r="AN18" i="2"/>
  <c r="AS18" i="2" s="1"/>
  <c r="AN26" i="2"/>
  <c r="AS26" i="2" s="1"/>
  <c r="AN15" i="2"/>
  <c r="AS15" i="2" s="1"/>
  <c r="AN23" i="2"/>
  <c r="AS23" i="2" s="1"/>
  <c r="AN13" i="2"/>
  <c r="AS13" i="2" s="1"/>
  <c r="AN16" i="2"/>
  <c r="AS16" i="2" s="1"/>
  <c r="AN24" i="2"/>
  <c r="AS24" i="2" s="1"/>
  <c r="AN30" i="2"/>
  <c r="AS30" i="2" s="1"/>
  <c r="AN33" i="2"/>
  <c r="AS33" i="2" s="1"/>
  <c r="AN36" i="2"/>
  <c r="AS36" i="2" s="1"/>
  <c r="AN39" i="2"/>
  <c r="AS39" i="2" s="1"/>
  <c r="AN42" i="2"/>
  <c r="AS42" i="2" s="1"/>
  <c r="AN21" i="2"/>
  <c r="AS21" i="2" s="1"/>
  <c r="AN27" i="2"/>
  <c r="AS27" i="2" s="1"/>
  <c r="AN43" i="2"/>
  <c r="AS43" i="2" s="1"/>
  <c r="A14" i="2"/>
  <c r="V8" i="2"/>
  <c r="C15" i="3" l="1"/>
  <c r="A16" i="3"/>
  <c r="AS12" i="2"/>
  <c r="H8" i="2" s="1"/>
  <c r="A8" i="2"/>
  <c r="C14" i="2"/>
  <c r="A15" i="2"/>
  <c r="C16" i="3" l="1"/>
  <c r="A17" i="3"/>
  <c r="C15" i="2"/>
  <c r="A16" i="2"/>
  <c r="C17" i="3" l="1"/>
  <c r="A18" i="3"/>
  <c r="C16" i="2"/>
  <c r="A17" i="2"/>
  <c r="C18" i="3" l="1"/>
  <c r="A19" i="3"/>
  <c r="C17" i="2"/>
  <c r="A18" i="2"/>
  <c r="C19" i="3" l="1"/>
  <c r="A20" i="3"/>
  <c r="C18" i="2"/>
  <c r="A19" i="2"/>
  <c r="C20" i="3" l="1"/>
  <c r="A21" i="3"/>
  <c r="C19" i="2"/>
  <c r="A20" i="2"/>
  <c r="C21" i="3" l="1"/>
  <c r="A22" i="3"/>
  <c r="C20" i="2"/>
  <c r="A21" i="2"/>
  <c r="C22" i="3" l="1"/>
  <c r="A23" i="3"/>
  <c r="C21" i="2"/>
  <c r="A22" i="2"/>
  <c r="C23" i="3" l="1"/>
  <c r="A24" i="3"/>
  <c r="C22" i="2"/>
  <c r="A23" i="2"/>
  <c r="C24" i="3" l="1"/>
  <c r="A25" i="3"/>
  <c r="C23" i="2"/>
  <c r="A24" i="2"/>
  <c r="C25" i="3" l="1"/>
  <c r="A26" i="3"/>
  <c r="C24" i="2"/>
  <c r="A25" i="2"/>
  <c r="C26" i="3" l="1"/>
  <c r="A27" i="3"/>
  <c r="C25" i="2"/>
  <c r="A26" i="2"/>
  <c r="C27" i="3" l="1"/>
  <c r="A28" i="3"/>
  <c r="C26" i="2"/>
  <c r="A27" i="2"/>
  <c r="C28" i="3" l="1"/>
  <c r="A29" i="3"/>
  <c r="C27" i="2"/>
  <c r="A28" i="2"/>
  <c r="C29" i="3" l="1"/>
  <c r="A30" i="3"/>
  <c r="C28" i="2"/>
  <c r="A29" i="2"/>
  <c r="C30" i="3" l="1"/>
  <c r="A31" i="3"/>
  <c r="C29" i="2"/>
  <c r="A30" i="2"/>
  <c r="C31" i="3" l="1"/>
  <c r="A32" i="3"/>
  <c r="C30" i="2"/>
  <c r="A31" i="2"/>
  <c r="C32" i="3" l="1"/>
  <c r="A33" i="3"/>
  <c r="C31" i="2"/>
  <c r="A32" i="2"/>
  <c r="C33" i="3" l="1"/>
  <c r="A34" i="3"/>
  <c r="C32" i="2"/>
  <c r="A33" i="2"/>
  <c r="C34" i="3" l="1"/>
  <c r="A35" i="3"/>
  <c r="C33" i="2"/>
  <c r="A34" i="2"/>
  <c r="C35" i="3" l="1"/>
  <c r="A36" i="3"/>
  <c r="C34" i="2"/>
  <c r="A35" i="2"/>
  <c r="C36" i="3" l="1"/>
  <c r="A37" i="3"/>
  <c r="C35" i="2"/>
  <c r="A36" i="2"/>
  <c r="C37" i="3" l="1"/>
  <c r="A38" i="3"/>
  <c r="C36" i="2"/>
  <c r="A37" i="2"/>
  <c r="C38" i="3" l="1"/>
  <c r="A39" i="3"/>
  <c r="C37" i="2"/>
  <c r="A38" i="2"/>
  <c r="C39" i="3" l="1"/>
  <c r="A40" i="3"/>
  <c r="C38" i="2"/>
  <c r="A39" i="2"/>
  <c r="C40" i="3" l="1"/>
  <c r="A41" i="3"/>
  <c r="C39" i="2"/>
  <c r="A40" i="2"/>
  <c r="C41" i="3" l="1"/>
  <c r="A42" i="3"/>
  <c r="C40" i="2"/>
  <c r="A41" i="2"/>
  <c r="C42" i="3" l="1"/>
  <c r="A43" i="3"/>
  <c r="C43" i="3" s="1"/>
  <c r="C41" i="2"/>
  <c r="A42" i="2"/>
  <c r="C42" i="2" l="1"/>
  <c r="A43" i="2"/>
  <c r="C43" i="2" s="1"/>
</calcChain>
</file>

<file path=xl/sharedStrings.xml><?xml version="1.0" encoding="utf-8"?>
<sst xmlns="http://schemas.openxmlformats.org/spreadsheetml/2006/main" count="191" uniqueCount="74">
  <si>
    <t>試用前に、まずこちらをご覧ください。</t>
    <rPh sb="0" eb="2">
      <t>シヨウ</t>
    </rPh>
    <rPh sb="2" eb="3">
      <t>マエ</t>
    </rPh>
    <rPh sb="12" eb="13">
      <t>ラン</t>
    </rPh>
    <phoneticPr fontId="5"/>
  </si>
  <si>
    <t>①</t>
    <phoneticPr fontId="4"/>
  </si>
  <si>
    <t>社員番号、氏名、所属を入力してください。</t>
    <rPh sb="0" eb="2">
      <t>シャイン</t>
    </rPh>
    <rPh sb="2" eb="4">
      <t>バンゴウ</t>
    </rPh>
    <rPh sb="5" eb="7">
      <t>シメイ</t>
    </rPh>
    <rPh sb="8" eb="10">
      <t>ショゾク</t>
    </rPh>
    <rPh sb="11" eb="13">
      <t>ニュウリョク</t>
    </rPh>
    <phoneticPr fontId="4"/>
  </si>
  <si>
    <t>②</t>
    <phoneticPr fontId="4"/>
  </si>
  <si>
    <t>に日付を入力してください。</t>
    <rPh sb="1" eb="3">
      <t>ヒヅケ</t>
    </rPh>
    <rPh sb="4" eb="6">
      <t>ニュウリョク</t>
    </rPh>
    <phoneticPr fontId="4"/>
  </si>
  <si>
    <t>が自動的に変わります。</t>
    <rPh sb="1" eb="4">
      <t>ジドウテキ</t>
    </rPh>
    <rPh sb="5" eb="6">
      <t>カ</t>
    </rPh>
    <phoneticPr fontId="4"/>
  </si>
  <si>
    <t>③</t>
    <phoneticPr fontId="4"/>
  </si>
  <si>
    <t>区分に出勤と休日を入力します。セルをクリックするとタブが現れるので、タブをクリックしても選択できます。</t>
    <rPh sb="0" eb="2">
      <t>クブン</t>
    </rPh>
    <rPh sb="3" eb="5">
      <t>シュッキン</t>
    </rPh>
    <rPh sb="6" eb="8">
      <t>キュウジツ</t>
    </rPh>
    <rPh sb="9" eb="11">
      <t>ニュウリョク</t>
    </rPh>
    <rPh sb="28" eb="29">
      <t>アラワ</t>
    </rPh>
    <rPh sb="44" eb="46">
      <t>センタク</t>
    </rPh>
    <phoneticPr fontId="4"/>
  </si>
  <si>
    <t>④</t>
    <phoneticPr fontId="4"/>
  </si>
  <si>
    <t>にその月に予定された開始時刻、終了時刻、休憩時間を入力してください。</t>
    <rPh sb="3" eb="4">
      <t>ツキ</t>
    </rPh>
    <rPh sb="5" eb="7">
      <t>ヨテイ</t>
    </rPh>
    <rPh sb="10" eb="12">
      <t>カイシ</t>
    </rPh>
    <rPh sb="12" eb="14">
      <t>ジコク</t>
    </rPh>
    <rPh sb="15" eb="17">
      <t>シュウリョウ</t>
    </rPh>
    <rPh sb="17" eb="19">
      <t>ジコク</t>
    </rPh>
    <rPh sb="20" eb="22">
      <t>キュウケイ</t>
    </rPh>
    <rPh sb="22" eb="24">
      <t>ジカン</t>
    </rPh>
    <rPh sb="25" eb="27">
      <t>ニュウリョク</t>
    </rPh>
    <phoneticPr fontId="4"/>
  </si>
  <si>
    <t>⑤</t>
    <phoneticPr fontId="4"/>
  </si>
  <si>
    <t>に実際に稼働した就業時刻を入力してください。</t>
    <rPh sb="1" eb="3">
      <t>ジッサイ</t>
    </rPh>
    <rPh sb="4" eb="6">
      <t>カドウ</t>
    </rPh>
    <rPh sb="8" eb="10">
      <t>シュウギョウ</t>
    </rPh>
    <rPh sb="10" eb="12">
      <t>ジコク</t>
    </rPh>
    <rPh sb="13" eb="15">
      <t>ニュウリョク</t>
    </rPh>
    <phoneticPr fontId="4"/>
  </si>
  <si>
    <t>⑥</t>
    <phoneticPr fontId="4"/>
  </si>
  <si>
    <t>シフト時間に出勤していないなど、シフト時間と異なる場合は、セルをクリックして対象区分を選択してください。</t>
    <rPh sb="3" eb="5">
      <t>ジカン</t>
    </rPh>
    <rPh sb="6" eb="8">
      <t>シュッキン</t>
    </rPh>
    <rPh sb="19" eb="21">
      <t>ジカン</t>
    </rPh>
    <rPh sb="22" eb="23">
      <t>コト</t>
    </rPh>
    <rPh sb="25" eb="27">
      <t>バアイ</t>
    </rPh>
    <rPh sb="38" eb="40">
      <t>タイショウ</t>
    </rPh>
    <rPh sb="40" eb="42">
      <t>クブン</t>
    </rPh>
    <rPh sb="43" eb="45">
      <t>センタク</t>
    </rPh>
    <phoneticPr fontId="4"/>
  </si>
  <si>
    <t>⑦</t>
    <phoneticPr fontId="5"/>
  </si>
  <si>
    <t>追加休憩等欄は、休憩時間を追加して与えた場合は、その時間を入力。早帰り等のため、休憩を与えなかったときは、</t>
    <rPh sb="0" eb="2">
      <t>ツイカ</t>
    </rPh>
    <rPh sb="2" eb="4">
      <t>キュウケイ</t>
    </rPh>
    <rPh sb="4" eb="5">
      <t>トウ</t>
    </rPh>
    <rPh sb="5" eb="6">
      <t>ラン</t>
    </rPh>
    <rPh sb="8" eb="10">
      <t>キュウケイ</t>
    </rPh>
    <rPh sb="10" eb="12">
      <t>ジカン</t>
    </rPh>
    <rPh sb="13" eb="15">
      <t>ツイカ</t>
    </rPh>
    <rPh sb="17" eb="18">
      <t>アタ</t>
    </rPh>
    <rPh sb="20" eb="22">
      <t>バアイ</t>
    </rPh>
    <rPh sb="26" eb="28">
      <t>ジカン</t>
    </rPh>
    <rPh sb="29" eb="31">
      <t>ニュウリョク</t>
    </rPh>
    <rPh sb="32" eb="34">
      <t>ハヤガエ</t>
    </rPh>
    <rPh sb="35" eb="36">
      <t>トウ</t>
    </rPh>
    <rPh sb="40" eb="42">
      <t>キュウケイ</t>
    </rPh>
    <rPh sb="43" eb="44">
      <t>アタ</t>
    </rPh>
    <phoneticPr fontId="5"/>
  </si>
  <si>
    <t>=-"0:00"</t>
    <phoneticPr fontId="5"/>
  </si>
  <si>
    <t>と入力してください。（0:00には実際の与えなかった時間を入力）</t>
    <rPh sb="1" eb="3">
      <t>ニュウリョク</t>
    </rPh>
    <rPh sb="17" eb="19">
      <t>ジッサイ</t>
    </rPh>
    <rPh sb="20" eb="21">
      <t>アタ</t>
    </rPh>
    <rPh sb="26" eb="28">
      <t>ジカン</t>
    </rPh>
    <rPh sb="29" eb="31">
      <t>ニュウリョク</t>
    </rPh>
    <phoneticPr fontId="5"/>
  </si>
  <si>
    <t>※</t>
    <phoneticPr fontId="4"/>
  </si>
  <si>
    <t>シフト時間外に出勤した場合、区分は「休日」としてください。</t>
    <rPh sb="3" eb="5">
      <t>ジカン</t>
    </rPh>
    <rPh sb="5" eb="6">
      <t>ガイ</t>
    </rPh>
    <rPh sb="7" eb="9">
      <t>シュッキン</t>
    </rPh>
    <rPh sb="11" eb="13">
      <t>バアイ</t>
    </rPh>
    <rPh sb="14" eb="16">
      <t>クブン</t>
    </rPh>
    <rPh sb="18" eb="20">
      <t>キュウジツ</t>
    </rPh>
    <phoneticPr fontId="4"/>
  </si>
  <si>
    <t>区分は、右端の区分欄の</t>
    <rPh sb="0" eb="2">
      <t>クブン</t>
    </rPh>
    <rPh sb="4" eb="6">
      <t>ミギハシ</t>
    </rPh>
    <rPh sb="7" eb="9">
      <t>クブン</t>
    </rPh>
    <rPh sb="9" eb="10">
      <t>ラン</t>
    </rPh>
    <phoneticPr fontId="4"/>
  </si>
  <si>
    <t>に追加することが出来ます。</t>
    <rPh sb="1" eb="3">
      <t>ツイカ</t>
    </rPh>
    <rPh sb="8" eb="10">
      <t>デキ</t>
    </rPh>
    <phoneticPr fontId="4"/>
  </si>
  <si>
    <t>※</t>
    <phoneticPr fontId="5"/>
  </si>
  <si>
    <t>次月に移行する場合は、当月分をプリントアウトしておくか新たにExcelソフトをコピーして作成してください。</t>
    <rPh sb="0" eb="2">
      <t>ジゲツ</t>
    </rPh>
    <rPh sb="3" eb="5">
      <t>イコウ</t>
    </rPh>
    <rPh sb="7" eb="9">
      <t>バアイ</t>
    </rPh>
    <rPh sb="11" eb="14">
      <t>トウゲツブン</t>
    </rPh>
    <rPh sb="27" eb="28">
      <t>アラ</t>
    </rPh>
    <rPh sb="44" eb="46">
      <t>サクセイ</t>
    </rPh>
    <phoneticPr fontId="5"/>
  </si>
  <si>
    <t>事業所には、5年間の保存義務があります。</t>
    <rPh sb="0" eb="3">
      <t>ジギョウショ</t>
    </rPh>
    <rPh sb="7" eb="9">
      <t>ネンカン</t>
    </rPh>
    <rPh sb="10" eb="14">
      <t>ホゾンギム</t>
    </rPh>
    <phoneticPr fontId="5"/>
  </si>
  <si>
    <t>テンキーだけで時刻（「：」コロン）を入力する方法もあるので、ご活用ください。</t>
    <rPh sb="31" eb="33">
      <t>カツヨウ</t>
    </rPh>
    <phoneticPr fontId="5"/>
  </si>
  <si>
    <t>https://office-taku.com/201502/msoffice/excel/8101.html</t>
    <phoneticPr fontId="5"/>
  </si>
  <si>
    <t>年</t>
    <rPh sb="0" eb="1">
      <t>ネン</t>
    </rPh>
    <phoneticPr fontId="5"/>
  </si>
  <si>
    <t>月</t>
    <rPh sb="0" eb="1">
      <t>ガツ</t>
    </rPh>
    <phoneticPr fontId="5"/>
  </si>
  <si>
    <t>社員ID</t>
  </si>
  <si>
    <t>氏名</t>
    <rPh sb="0" eb="2">
      <t>シメイ</t>
    </rPh>
    <phoneticPr fontId="5"/>
  </si>
  <si>
    <t>所属</t>
    <rPh sb="0" eb="2">
      <t>ショゾク</t>
    </rPh>
    <phoneticPr fontId="5"/>
  </si>
  <si>
    <t>出勤日数</t>
    <phoneticPr fontId="5"/>
  </si>
  <si>
    <t>休日日数</t>
    <rPh sb="0" eb="2">
      <t>キュウジツ</t>
    </rPh>
    <rPh sb="2" eb="4">
      <t>ニッスウ</t>
    </rPh>
    <phoneticPr fontId="5"/>
  </si>
  <si>
    <t>有給取得日数</t>
    <rPh sb="1" eb="2">
      <t>キュウ</t>
    </rPh>
    <phoneticPr fontId="5"/>
  </si>
  <si>
    <t>振休取得日数</t>
    <rPh sb="0" eb="2">
      <t>フリキュウ</t>
    </rPh>
    <rPh sb="2" eb="4">
      <t>シュトク</t>
    </rPh>
    <rPh sb="4" eb="6">
      <t>ニッスウ</t>
    </rPh>
    <phoneticPr fontId="5"/>
  </si>
  <si>
    <t>欠勤日数</t>
    <rPh sb="0" eb="2">
      <t>ケッキン</t>
    </rPh>
    <rPh sb="2" eb="4">
      <t>ニッスウ</t>
    </rPh>
    <rPh sb="3" eb="4">
      <t>キュウジツ</t>
    </rPh>
    <phoneticPr fontId="5"/>
  </si>
  <si>
    <t>休業日数</t>
    <rPh sb="0" eb="2">
      <t>キュウギョウ</t>
    </rPh>
    <rPh sb="2" eb="4">
      <t>ニッスウ</t>
    </rPh>
    <phoneticPr fontId="5"/>
  </si>
  <si>
    <t>総就業時間</t>
    <rPh sb="0" eb="1">
      <t>ソウ</t>
    </rPh>
    <rPh sb="1" eb="3">
      <t>シュウギョウ</t>
    </rPh>
    <rPh sb="3" eb="5">
      <t>ジカン</t>
    </rPh>
    <phoneticPr fontId="5"/>
  </si>
  <si>
    <t>就業時間</t>
    <rPh sb="0" eb="2">
      <t>シュウギョウ</t>
    </rPh>
    <rPh sb="2" eb="4">
      <t>ジカン</t>
    </rPh>
    <phoneticPr fontId="5"/>
  </si>
  <si>
    <t>シフト時間</t>
    <rPh sb="3" eb="5">
      <t>ジカン</t>
    </rPh>
    <phoneticPr fontId="5"/>
  </si>
  <si>
    <t>早出残業時間</t>
    <rPh sb="0" eb="2">
      <t>ハヤデ</t>
    </rPh>
    <rPh sb="2" eb="4">
      <t>ザンギョウ</t>
    </rPh>
    <rPh sb="4" eb="6">
      <t>ジカン</t>
    </rPh>
    <phoneticPr fontId="5"/>
  </si>
  <si>
    <t>早朝深夜時間</t>
    <rPh sb="0" eb="2">
      <t>ソウチョウ</t>
    </rPh>
    <rPh sb="2" eb="4">
      <t>シンヤ</t>
    </rPh>
    <rPh sb="4" eb="6">
      <t>ジカン</t>
    </rPh>
    <phoneticPr fontId="5"/>
  </si>
  <si>
    <t>早退時間</t>
    <rPh sb="0" eb="2">
      <t>ソウタイ</t>
    </rPh>
    <rPh sb="2" eb="4">
      <t>ジカン</t>
    </rPh>
    <phoneticPr fontId="5"/>
  </si>
  <si>
    <t>遅刻時間</t>
    <rPh sb="0" eb="2">
      <t>チコク</t>
    </rPh>
    <rPh sb="2" eb="4">
      <t>ジカン</t>
    </rPh>
    <phoneticPr fontId="5"/>
  </si>
  <si>
    <t>休業時間</t>
    <rPh sb="0" eb="2">
      <t>キュウギョウ</t>
    </rPh>
    <rPh sb="2" eb="4">
      <t>ジカン</t>
    </rPh>
    <phoneticPr fontId="5"/>
  </si>
  <si>
    <t>日</t>
    <rPh sb="0" eb="1">
      <t>ヒ</t>
    </rPh>
    <phoneticPr fontId="5"/>
  </si>
  <si>
    <t>曜日</t>
    <rPh sb="0" eb="2">
      <t>ヨウビ</t>
    </rPh>
    <phoneticPr fontId="5"/>
  </si>
  <si>
    <t>区分</t>
    <rPh sb="0" eb="2">
      <t>クブン</t>
    </rPh>
    <phoneticPr fontId="5"/>
  </si>
  <si>
    <t>就業時刻</t>
    <rPh sb="0" eb="2">
      <t>シュウギョウ</t>
    </rPh>
    <rPh sb="2" eb="4">
      <t>ジコク</t>
    </rPh>
    <phoneticPr fontId="5"/>
  </si>
  <si>
    <t>合計</t>
    <rPh sb="0" eb="2">
      <t>ゴウケイ</t>
    </rPh>
    <phoneticPr fontId="5"/>
  </si>
  <si>
    <t>有給
時間</t>
    <rPh sb="0" eb="2">
      <t>ユウキュウ</t>
    </rPh>
    <rPh sb="3" eb="5">
      <t>ジカン</t>
    </rPh>
    <phoneticPr fontId="5"/>
  </si>
  <si>
    <t>法定時間外</t>
    <rPh sb="0" eb="2">
      <t>ホウテイ</t>
    </rPh>
    <rPh sb="2" eb="5">
      <t>ジカンガイ</t>
    </rPh>
    <phoneticPr fontId="5"/>
  </si>
  <si>
    <t>出社</t>
    <rPh sb="0" eb="2">
      <t>シュッシャ</t>
    </rPh>
    <phoneticPr fontId="5"/>
  </si>
  <si>
    <t>退社</t>
    <rPh sb="0" eb="2">
      <t>タイシャ</t>
    </rPh>
    <phoneticPr fontId="5"/>
  </si>
  <si>
    <t>開始時刻</t>
    <rPh sb="0" eb="2">
      <t>カイシ</t>
    </rPh>
    <rPh sb="2" eb="4">
      <t>ジコク</t>
    </rPh>
    <phoneticPr fontId="5"/>
  </si>
  <si>
    <t>終了時刻</t>
    <rPh sb="0" eb="2">
      <t>シュウリョウ</t>
    </rPh>
    <rPh sb="2" eb="4">
      <t>ジコク</t>
    </rPh>
    <phoneticPr fontId="5"/>
  </si>
  <si>
    <t>休憩時間</t>
    <rPh sb="0" eb="2">
      <t>キュウケイ</t>
    </rPh>
    <rPh sb="2" eb="4">
      <t>ジカン</t>
    </rPh>
    <phoneticPr fontId="5"/>
  </si>
  <si>
    <t>基本</t>
    <rPh sb="0" eb="2">
      <t>キホン</t>
    </rPh>
    <phoneticPr fontId="5"/>
  </si>
  <si>
    <t>早出</t>
    <rPh sb="0" eb="2">
      <t>ハヤデ</t>
    </rPh>
    <phoneticPr fontId="5"/>
  </si>
  <si>
    <t>残業</t>
    <rPh sb="0" eb="2">
      <t>ザンギョウ</t>
    </rPh>
    <phoneticPr fontId="5"/>
  </si>
  <si>
    <t>早朝</t>
    <rPh sb="0" eb="2">
      <t>ソウチョウ</t>
    </rPh>
    <phoneticPr fontId="5"/>
  </si>
  <si>
    <t>早退</t>
    <rPh sb="0" eb="2">
      <t>ソウタイ</t>
    </rPh>
    <phoneticPr fontId="5"/>
  </si>
  <si>
    <t>遅刻</t>
    <rPh sb="0" eb="2">
      <t>チコク</t>
    </rPh>
    <phoneticPr fontId="5"/>
  </si>
  <si>
    <t>休業
時間</t>
    <rPh sb="0" eb="2">
      <t>キュウギョウ</t>
    </rPh>
    <rPh sb="3" eb="5">
      <t>ジカン</t>
    </rPh>
    <phoneticPr fontId="5"/>
  </si>
  <si>
    <t>追加
休憩等</t>
    <rPh sb="0" eb="2">
      <t>ツイカ</t>
    </rPh>
    <rPh sb="3" eb="5">
      <t>キュウケイ</t>
    </rPh>
    <rPh sb="5" eb="6">
      <t>トウ</t>
    </rPh>
    <phoneticPr fontId="5"/>
  </si>
  <si>
    <t>深夜</t>
    <rPh sb="0" eb="2">
      <t>シンヤ</t>
    </rPh>
    <phoneticPr fontId="5"/>
  </si>
  <si>
    <t>出勤</t>
    <rPh sb="0" eb="2">
      <t>シュッキン</t>
    </rPh>
    <phoneticPr fontId="5"/>
  </si>
  <si>
    <t>休日</t>
    <rPh sb="0" eb="2">
      <t>キュウジツ</t>
    </rPh>
    <phoneticPr fontId="5"/>
  </si>
  <si>
    <t>有給</t>
    <rPh sb="0" eb="2">
      <t>ユウキュウ</t>
    </rPh>
    <phoneticPr fontId="5"/>
  </si>
  <si>
    <t>振休</t>
    <rPh sb="0" eb="2">
      <t>フリキュウ</t>
    </rPh>
    <phoneticPr fontId="5"/>
  </si>
  <si>
    <t>休業</t>
    <rPh sb="0" eb="2">
      <t>キュウギョウ</t>
    </rPh>
    <phoneticPr fontId="5"/>
  </si>
  <si>
    <t>休業（時間）</t>
    <rPh sb="0" eb="2">
      <t>キュウギョウ</t>
    </rPh>
    <rPh sb="3" eb="5">
      <t>ジカン</t>
    </rPh>
    <phoneticPr fontId="5"/>
  </si>
  <si>
    <t>欠勤</t>
    <rPh sb="0" eb="2">
      <t>ケッキン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</si>
</sst>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[h]:mm"/>
    <numFmt numFmtId="177" formatCode="h:mm;@"/>
    <numFmt numFmtId="178" formatCode="d"/>
    <numFmt numFmtId="179" formatCode="aaa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name val="Yu Gothic Medium"/>
      <family val="2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Yu Gothic Medium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3" fillId="2" borderId="0" xfId="0" applyFont="1" applyFill="1" applyAlignment="1"/>
    <xf numFmtId="49" fontId="3" fillId="2" borderId="0" xfId="0" applyNumberFormat="1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>
      <alignment vertical="center"/>
    </xf>
    <xf numFmtId="49" fontId="6" fillId="3" borderId="0" xfId="0" applyNumberFormat="1" applyFont="1" applyFill="1">
      <alignment vertical="center"/>
    </xf>
    <xf numFmtId="49" fontId="6" fillId="4" borderId="0" xfId="0" applyNumberFormat="1" applyFont="1" applyFill="1">
      <alignment vertical="center"/>
    </xf>
    <xf numFmtId="49" fontId="6" fillId="5" borderId="0" xfId="0" applyNumberFormat="1" applyFont="1" applyFill="1">
      <alignment vertical="center"/>
    </xf>
    <xf numFmtId="49" fontId="6" fillId="6" borderId="0" xfId="0" applyNumberFormat="1" applyFont="1" applyFill="1">
      <alignment vertical="center"/>
    </xf>
    <xf numFmtId="49" fontId="6" fillId="2" borderId="1" xfId="0" applyNumberFormat="1" applyFont="1" applyFill="1" applyBorder="1">
      <alignment vertical="center"/>
    </xf>
    <xf numFmtId="49" fontId="6" fillId="2" borderId="2" xfId="0" applyNumberFormat="1" applyFont="1" applyFill="1" applyBorder="1">
      <alignment vertical="center"/>
    </xf>
    <xf numFmtId="49" fontId="6" fillId="2" borderId="3" xfId="0" applyNumberFormat="1" applyFont="1" applyFill="1" applyBorder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6" fillId="7" borderId="0" xfId="0" applyNumberFormat="1" applyFont="1" applyFill="1" applyAlignment="1">
      <alignment horizontal="center" vertical="center"/>
    </xf>
    <xf numFmtId="49" fontId="6" fillId="7" borderId="0" xfId="0" applyNumberFormat="1" applyFont="1" applyFill="1" applyAlignment="1">
      <alignment horizontal="left" vertical="center"/>
    </xf>
    <xf numFmtId="49" fontId="6" fillId="7" borderId="0" xfId="0" applyNumberFormat="1" applyFont="1" applyFill="1" applyAlignment="1">
      <alignment horizontal="left" vertical="center"/>
    </xf>
    <xf numFmtId="49" fontId="6" fillId="7" borderId="4" xfId="0" applyNumberFormat="1" applyFont="1" applyFill="1" applyBorder="1" applyAlignment="1">
      <alignment horizontal="left" vertical="center"/>
    </xf>
    <xf numFmtId="49" fontId="6" fillId="7" borderId="5" xfId="0" applyNumberFormat="1" applyFont="1" applyFill="1" applyBorder="1">
      <alignment vertical="center"/>
    </xf>
    <xf numFmtId="49" fontId="6" fillId="7" borderId="3" xfId="0" applyNumberFormat="1" applyFont="1" applyFill="1" applyBorder="1" applyAlignment="1">
      <alignment horizontal="left" vertical="center"/>
    </xf>
    <xf numFmtId="49" fontId="6" fillId="7" borderId="0" xfId="0" applyNumberFormat="1" applyFont="1" applyFill="1">
      <alignment vertical="center"/>
    </xf>
    <xf numFmtId="0" fontId="2" fillId="2" borderId="0" xfId="2" applyFill="1" applyAlignment="1">
      <alignment horizontal="right"/>
    </xf>
    <xf numFmtId="0" fontId="3" fillId="2" borderId="0" xfId="0" applyFont="1" applyFill="1" applyAlignment="1">
      <alignment horizontal="right"/>
    </xf>
    <xf numFmtId="0" fontId="7" fillId="3" borderId="6" xfId="0" applyFont="1" applyFill="1" applyBorder="1">
      <alignment vertical="center"/>
    </xf>
    <xf numFmtId="0" fontId="7" fillId="0" borderId="6" xfId="0" applyFont="1" applyBorder="1">
      <alignment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76" fontId="8" fillId="9" borderId="7" xfId="0" applyNumberFormat="1" applyFont="1" applyFill="1" applyBorder="1" applyAlignment="1">
      <alignment horizontal="center" vertical="center"/>
    </xf>
    <xf numFmtId="176" fontId="8" fillId="9" borderId="2" xfId="0" applyNumberFormat="1" applyFont="1" applyFill="1" applyBorder="1" applyAlignment="1">
      <alignment horizontal="center" vertical="center"/>
    </xf>
    <xf numFmtId="177" fontId="8" fillId="9" borderId="5" xfId="0" applyNumberFormat="1" applyFont="1" applyFill="1" applyBorder="1" applyAlignment="1">
      <alignment horizontal="center" vertical="center"/>
    </xf>
    <xf numFmtId="176" fontId="8" fillId="9" borderId="5" xfId="0" applyNumberFormat="1" applyFont="1" applyFill="1" applyBorder="1" applyAlignment="1">
      <alignment horizontal="center" vertical="center"/>
    </xf>
    <xf numFmtId="6" fontId="7" fillId="8" borderId="8" xfId="1" applyFont="1" applyFill="1" applyBorder="1" applyAlignment="1">
      <alignment horizontal="center" vertical="center"/>
    </xf>
    <xf numFmtId="6" fontId="7" fillId="8" borderId="9" xfId="1" applyFont="1" applyFill="1" applyBorder="1" applyAlignment="1">
      <alignment horizontal="center" vertical="center"/>
    </xf>
    <xf numFmtId="6" fontId="7" fillId="8" borderId="10" xfId="1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76" fontId="10" fillId="10" borderId="8" xfId="0" applyNumberFormat="1" applyFont="1" applyFill="1" applyBorder="1" applyAlignment="1">
      <alignment horizontal="center" vertical="center" textRotation="255" wrapText="1"/>
    </xf>
    <xf numFmtId="176" fontId="10" fillId="10" borderId="10" xfId="0" applyNumberFormat="1" applyFont="1" applyFill="1" applyBorder="1" applyAlignment="1">
      <alignment horizontal="center" vertical="center" textRotation="255" wrapText="1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176" fontId="10" fillId="10" borderId="13" xfId="0" applyNumberFormat="1" applyFont="1" applyFill="1" applyBorder="1" applyAlignment="1">
      <alignment horizontal="center" vertical="center" textRotation="255" wrapText="1"/>
    </xf>
    <xf numFmtId="176" fontId="10" fillId="10" borderId="14" xfId="0" applyNumberFormat="1" applyFont="1" applyFill="1" applyBorder="1" applyAlignment="1">
      <alignment horizontal="center" vertical="center" textRotation="255" wrapText="1"/>
    </xf>
    <xf numFmtId="0" fontId="7" fillId="8" borderId="13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176" fontId="8" fillId="11" borderId="1" xfId="0" applyNumberFormat="1" applyFont="1" applyFill="1" applyBorder="1" applyAlignment="1">
      <alignment horizontal="center" vertical="center" wrapText="1"/>
    </xf>
    <xf numFmtId="176" fontId="8" fillId="11" borderId="2" xfId="0" applyNumberFormat="1" applyFont="1" applyFill="1" applyBorder="1" applyAlignment="1">
      <alignment horizontal="center" vertical="center" wrapText="1"/>
    </xf>
    <xf numFmtId="178" fontId="9" fillId="12" borderId="5" xfId="0" applyNumberFormat="1" applyFont="1" applyFill="1" applyBorder="1" applyAlignment="1">
      <alignment horizontal="center" vertical="center"/>
    </xf>
    <xf numFmtId="179" fontId="0" fillId="12" borderId="5" xfId="0" applyNumberFormat="1" applyFill="1" applyBorder="1" applyAlignment="1">
      <alignment horizontal="center" vertical="center"/>
    </xf>
    <xf numFmtId="179" fontId="9" fillId="12" borderId="5" xfId="0" applyNumberFormat="1" applyFont="1" applyFill="1" applyBorder="1" applyAlignment="1">
      <alignment horizontal="center" vertical="center"/>
    </xf>
    <xf numFmtId="0" fontId="8" fillId="0" borderId="5" xfId="0" applyFont="1" applyBorder="1">
      <alignment vertical="center"/>
    </xf>
    <xf numFmtId="176" fontId="8" fillId="6" borderId="1" xfId="0" applyNumberFormat="1" applyFont="1" applyFill="1" applyBorder="1" applyAlignment="1">
      <alignment horizontal="center" vertical="center"/>
    </xf>
    <xf numFmtId="176" fontId="8" fillId="6" borderId="7" xfId="0" applyNumberFormat="1" applyFont="1" applyFill="1" applyBorder="1" applyAlignment="1">
      <alignment horizontal="center" vertical="center"/>
    </xf>
    <xf numFmtId="176" fontId="8" fillId="6" borderId="2" xfId="0" applyNumberFormat="1" applyFont="1" applyFill="1" applyBorder="1" applyAlignment="1">
      <alignment horizontal="center" vertical="center"/>
    </xf>
    <xf numFmtId="177" fontId="8" fillId="9" borderId="7" xfId="0" applyNumberFormat="1" applyFont="1" applyFill="1" applyBorder="1" applyAlignment="1">
      <alignment horizontal="center" vertical="center"/>
    </xf>
    <xf numFmtId="177" fontId="8" fillId="9" borderId="1" xfId="0" applyNumberFormat="1" applyFont="1" applyFill="1" applyBorder="1" applyAlignment="1">
      <alignment horizontal="center" vertical="center"/>
    </xf>
    <xf numFmtId="177" fontId="8" fillId="6" borderId="1" xfId="0" applyNumberFormat="1" applyFont="1" applyFill="1" applyBorder="1" applyAlignment="1">
      <alignment horizontal="center" vertical="center"/>
    </xf>
    <xf numFmtId="177" fontId="8" fillId="6" borderId="7" xfId="0" applyNumberFormat="1" applyFont="1" applyFill="1" applyBorder="1" applyAlignment="1">
      <alignment horizontal="center" vertical="center"/>
    </xf>
    <xf numFmtId="177" fontId="8" fillId="9" borderId="2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7" fillId="0" borderId="15" xfId="0" applyFont="1" applyBorder="1">
      <alignment vertical="center"/>
    </xf>
    <xf numFmtId="0" fontId="8" fillId="0" borderId="5" xfId="0" applyFont="1" applyBorder="1">
      <alignment vertical="center"/>
    </xf>
    <xf numFmtId="177" fontId="8" fillId="0" borderId="0" xfId="0" applyNumberFormat="1" applyFont="1">
      <alignment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5" borderId="7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</cellXfs>
  <cellStyles count="3">
    <cellStyle name="ハイパーリンク" xfId="2" builtinId="8"/>
    <cellStyle name="通貨" xfId="1" builtinId="7"/>
    <cellStyle name="標準" xfId="0" builtinId="0"/>
  </cellStyles>
  <dxfs count="9">
    <dxf>
      <fill>
        <patternFill>
          <bgColor rgb="FFFF5050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ill>
        <patternFill>
          <bgColor rgb="FFFF5050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ill>
        <patternFill>
          <bgColor rgb="FFFF5050"/>
        </patternFill>
      </fill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ffice-taku.com/201502/msoffice/excel/81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E22A-99D8-4EDF-B6FA-A3DE7FA1C3FF}">
  <sheetPr>
    <tabColor rgb="FFFF0000"/>
  </sheetPr>
  <dimension ref="A2:AB70"/>
  <sheetViews>
    <sheetView tabSelected="1" workbookViewId="0">
      <selection activeCell="B9" sqref="B9"/>
    </sheetView>
  </sheetViews>
  <sheetFormatPr defaultColWidth="9" defaultRowHeight="18"/>
  <cols>
    <col min="1" max="68" width="3.75" style="1" customWidth="1"/>
    <col min="69" max="16384" width="9" style="1"/>
  </cols>
  <sheetData>
    <row r="2" spans="1:28" ht="18.75" customHeight="1">
      <c r="A2" s="1" t="s">
        <v>0</v>
      </c>
    </row>
    <row r="3" spans="1:28" ht="18.75" customHeight="1"/>
    <row r="4" spans="1:28" ht="18.75" customHeight="1"/>
    <row r="5" spans="1:28" ht="18.75" customHeight="1">
      <c r="A5" s="2" t="s">
        <v>1</v>
      </c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8.75" customHeight="1">
      <c r="A6" s="2" t="s">
        <v>3</v>
      </c>
      <c r="B6" s="5"/>
      <c r="C6" s="3" t="s">
        <v>4</v>
      </c>
      <c r="D6" s="3"/>
      <c r="E6" s="3"/>
      <c r="F6" s="3"/>
      <c r="G6" s="3"/>
      <c r="H6" s="3"/>
      <c r="I6" s="3"/>
      <c r="J6" s="6"/>
      <c r="K6" s="3" t="s">
        <v>5</v>
      </c>
      <c r="L6" s="3"/>
      <c r="M6" s="3"/>
      <c r="N6" s="3"/>
      <c r="O6" s="3"/>
      <c r="P6" s="3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8.75" customHeight="1">
      <c r="A7" s="2" t="s">
        <v>6</v>
      </c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4"/>
    </row>
    <row r="8" spans="1:28" ht="18.75" customHeight="1">
      <c r="A8" s="2" t="s">
        <v>8</v>
      </c>
      <c r="B8" s="7"/>
      <c r="C8" s="3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  <c r="V8" s="4"/>
      <c r="W8" s="4"/>
      <c r="X8" s="4"/>
      <c r="Y8" s="4"/>
      <c r="Z8" s="4"/>
      <c r="AA8" s="4"/>
      <c r="AB8" s="4"/>
    </row>
    <row r="9" spans="1:28" ht="18.75" customHeight="1">
      <c r="A9" s="2" t="s">
        <v>10</v>
      </c>
      <c r="B9" s="8"/>
      <c r="C9" s="4" t="s">
        <v>11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8.75" customHeight="1">
      <c r="A10" s="2" t="s">
        <v>12</v>
      </c>
      <c r="B10" s="3" t="s">
        <v>13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8.75" customHeight="1">
      <c r="A11" s="2" t="s">
        <v>14</v>
      </c>
      <c r="B11" s="3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8.75" customHeight="1">
      <c r="A12" s="2"/>
      <c r="B12" s="9" t="s">
        <v>16</v>
      </c>
      <c r="C12" s="10"/>
      <c r="D12" s="11" t="s">
        <v>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8.75" customHeight="1">
      <c r="A13" s="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18.75" customHeight="1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8.75" customHeight="1">
      <c r="A15" s="13" t="s">
        <v>18</v>
      </c>
      <c r="B15" s="14" t="s">
        <v>19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18.75" customHeight="1">
      <c r="A16" s="13" t="s">
        <v>18</v>
      </c>
      <c r="B16" s="14" t="s">
        <v>20</v>
      </c>
      <c r="C16" s="14"/>
      <c r="D16" s="14"/>
      <c r="E16" s="14"/>
      <c r="F16" s="14"/>
      <c r="G16" s="16"/>
      <c r="H16" s="17"/>
      <c r="I16" s="18" t="s">
        <v>21</v>
      </c>
      <c r="J16" s="14"/>
      <c r="K16" s="14"/>
      <c r="L16" s="14"/>
      <c r="M16" s="14"/>
      <c r="N16" s="14"/>
      <c r="O16" s="14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18.75" customHeight="1">
      <c r="A17" s="2" t="s">
        <v>22</v>
      </c>
      <c r="B17" s="3" t="s">
        <v>23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8.75" customHeight="1">
      <c r="A18" s="2"/>
      <c r="B18" s="3" t="s">
        <v>24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8.75" customHeight="1"/>
    <row r="20" spans="1:28" ht="18.75" customHeight="1">
      <c r="A20" s="2" t="s">
        <v>22</v>
      </c>
      <c r="B20" s="3" t="s">
        <v>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8.75" customHeight="1">
      <c r="B21" s="20" t="s">
        <v>26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spans="1:28" ht="18.75" customHeight="1"/>
    <row r="23" spans="1:28" ht="18.75" customHeight="1"/>
    <row r="24" spans="1:28" ht="18.75" customHeight="1"/>
    <row r="25" spans="1:28" ht="18.75" customHeight="1"/>
    <row r="26" spans="1:28" ht="18.75" customHeight="1"/>
    <row r="27" spans="1:28" ht="18.75" customHeight="1"/>
    <row r="28" spans="1:28" ht="18.75" customHeight="1"/>
    <row r="29" spans="1:28" ht="18.75" customHeight="1"/>
    <row r="30" spans="1:28" ht="18.75" customHeight="1"/>
    <row r="31" spans="1:28" ht="18.75" customHeight="1"/>
    <row r="32" spans="1:28" ht="18.75" customHeight="1"/>
    <row r="33" s="1" customFormat="1" ht="18.75" customHeight="1"/>
    <row r="34" s="1" customFormat="1" ht="18.75" customHeight="1"/>
    <row r="35" s="1" customFormat="1" ht="18.75" customHeight="1"/>
    <row r="36" s="1" customFormat="1" ht="18.75" customHeight="1"/>
    <row r="37" s="1" customFormat="1" ht="18.75" customHeight="1"/>
    <row r="38" s="1" customFormat="1" ht="18.75" customHeight="1"/>
    <row r="39" s="1" customFormat="1" ht="18.75" customHeight="1"/>
    <row r="40" s="1" customFormat="1" ht="18.75" customHeight="1"/>
    <row r="41" s="1" customFormat="1" ht="18.75" customHeight="1"/>
    <row r="42" s="1" customFormat="1" ht="18.75" customHeight="1"/>
    <row r="43" s="1" customFormat="1" ht="18.75" customHeight="1"/>
    <row r="44" s="1" customFormat="1" ht="18.75" customHeight="1"/>
    <row r="45" s="1" customFormat="1" ht="18.75" customHeight="1"/>
    <row r="46" s="1" customFormat="1" ht="18.75" customHeight="1"/>
    <row r="47" s="1" customFormat="1" ht="18.75" customHeight="1"/>
    <row r="48" s="1" customFormat="1" ht="18.75" customHeight="1"/>
    <row r="49" s="1" customFormat="1" ht="18.75" customHeight="1"/>
    <row r="50" s="1" customFormat="1" ht="18.75" customHeight="1"/>
    <row r="51" s="1" customFormat="1" ht="18.75" customHeight="1"/>
    <row r="52" s="1" customFormat="1" ht="18.75" customHeight="1"/>
    <row r="53" s="1" customFormat="1" ht="18.75" customHeight="1"/>
    <row r="54" s="1" customFormat="1" ht="18.75" customHeight="1"/>
    <row r="55" s="1" customFormat="1" ht="18.75" customHeight="1"/>
    <row r="56" s="1" customFormat="1" ht="18.75" customHeight="1"/>
    <row r="57" s="1" customFormat="1" ht="18.75" customHeight="1"/>
    <row r="58" s="1" customFormat="1" ht="18.75" customHeight="1"/>
    <row r="59" s="1" customFormat="1" ht="18.75" customHeight="1"/>
    <row r="60" s="1" customFormat="1" ht="18.75" customHeight="1"/>
    <row r="61" s="1" customFormat="1" ht="18.75" customHeight="1"/>
    <row r="62" s="1" customFormat="1" ht="18.75" customHeight="1"/>
    <row r="63" s="1" customFormat="1" ht="18.75" customHeight="1"/>
    <row r="64" s="1" customFormat="1" ht="18.75" customHeight="1"/>
    <row r="65" s="1" customFormat="1" ht="18.75" customHeight="1"/>
    <row r="66" s="1" customFormat="1" ht="18.75" customHeight="1"/>
    <row r="67" s="1" customFormat="1" ht="18.75" customHeight="1"/>
    <row r="68" s="1" customFormat="1" ht="18.75" customHeight="1"/>
    <row r="69" s="1" customFormat="1" ht="18.75" customHeight="1"/>
    <row r="70" s="1" customFormat="1" ht="18.75" customHeight="1"/>
  </sheetData>
  <mergeCells count="15">
    <mergeCell ref="B18:AB18"/>
    <mergeCell ref="B20:AB20"/>
    <mergeCell ref="B21:AB21"/>
    <mergeCell ref="B11:AB11"/>
    <mergeCell ref="D12:AB12"/>
    <mergeCell ref="B15:P15"/>
    <mergeCell ref="B16:G16"/>
    <mergeCell ref="I16:O16"/>
    <mergeCell ref="B17:AB17"/>
    <mergeCell ref="B5:L5"/>
    <mergeCell ref="C6:I6"/>
    <mergeCell ref="K6:P6"/>
    <mergeCell ref="B7:AA7"/>
    <mergeCell ref="C8:T8"/>
    <mergeCell ref="B10:AB10"/>
  </mergeCells>
  <phoneticPr fontId="4"/>
  <hyperlinks>
    <hyperlink ref="B21" r:id="rId1" xr:uid="{E49C75F1-DA9D-4AFE-9BAC-C33315E84C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F5AE-B94A-47AB-B33F-AFA7812F5DDA}">
  <dimension ref="A1:AW364"/>
  <sheetViews>
    <sheetView workbookViewId="0">
      <selection activeCell="R19" sqref="R19:T19"/>
    </sheetView>
  </sheetViews>
  <sheetFormatPr defaultColWidth="3" defaultRowHeight="12"/>
  <cols>
    <col min="1" max="47" width="3" style="25"/>
    <col min="48" max="48" width="18.375" style="25" customWidth="1"/>
    <col min="49" max="49" width="5.875" style="38" bestFit="1" customWidth="1"/>
    <col min="50" max="50" width="3" style="25"/>
    <col min="51" max="51" width="5.375" style="25" bestFit="1" customWidth="1"/>
    <col min="52" max="16384" width="3" style="25"/>
  </cols>
  <sheetData>
    <row r="1" spans="1:49" ht="18" customHeight="1" thickBot="1">
      <c r="A1" s="22">
        <v>2024</v>
      </c>
      <c r="B1" s="22"/>
      <c r="C1" s="23" t="s">
        <v>27</v>
      </c>
      <c r="D1" s="24">
        <v>1</v>
      </c>
      <c r="E1" s="24"/>
      <c r="F1" s="23" t="s">
        <v>28</v>
      </c>
      <c r="I1" s="26"/>
      <c r="AW1" s="25"/>
    </row>
    <row r="2" spans="1:49" ht="18" customHeight="1" thickTop="1">
      <c r="AW2" s="25"/>
    </row>
    <row r="3" spans="1:49" ht="18" customHeight="1">
      <c r="A3" s="27" t="s">
        <v>29</v>
      </c>
      <c r="B3" s="28"/>
      <c r="C3" s="29"/>
      <c r="D3" s="30"/>
      <c r="E3" s="31"/>
      <c r="F3" s="32"/>
      <c r="G3" s="27" t="s">
        <v>30</v>
      </c>
      <c r="H3" s="28"/>
      <c r="I3" s="29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4" t="s">
        <v>31</v>
      </c>
      <c r="X3" s="34"/>
      <c r="Y3" s="34"/>
      <c r="Z3" s="34"/>
      <c r="AA3" s="35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</row>
    <row r="4" spans="1:49" ht="18" customHeight="1">
      <c r="AW4" s="25"/>
    </row>
    <row r="5" spans="1:49" ht="18" customHeight="1">
      <c r="A5" s="34" t="s">
        <v>32</v>
      </c>
      <c r="B5" s="34"/>
      <c r="C5" s="34"/>
      <c r="D5" s="34"/>
      <c r="E5" s="34"/>
      <c r="F5" s="34"/>
      <c r="G5" s="34"/>
      <c r="H5" s="34"/>
      <c r="I5" s="34" t="s">
        <v>33</v>
      </c>
      <c r="J5" s="34"/>
      <c r="K5" s="34"/>
      <c r="L5" s="34"/>
      <c r="M5" s="34"/>
      <c r="N5" s="34"/>
      <c r="O5" s="34"/>
      <c r="P5" s="34"/>
      <c r="Q5" s="34" t="s">
        <v>34</v>
      </c>
      <c r="R5" s="34"/>
      <c r="S5" s="34"/>
      <c r="T5" s="34"/>
      <c r="U5" s="34"/>
      <c r="V5" s="34"/>
      <c r="W5" s="34"/>
      <c r="X5" s="34"/>
      <c r="Y5" s="34" t="s">
        <v>35</v>
      </c>
      <c r="Z5" s="34"/>
      <c r="AA5" s="34"/>
      <c r="AB5" s="34"/>
      <c r="AC5" s="34"/>
      <c r="AD5" s="34"/>
      <c r="AE5" s="34"/>
      <c r="AF5" s="34"/>
      <c r="AG5" s="27" t="s">
        <v>36</v>
      </c>
      <c r="AH5" s="28"/>
      <c r="AI5" s="28"/>
      <c r="AJ5" s="28"/>
      <c r="AK5" s="28"/>
      <c r="AL5" s="28"/>
      <c r="AM5" s="28"/>
      <c r="AN5" s="29"/>
      <c r="AO5" s="34" t="s">
        <v>37</v>
      </c>
      <c r="AP5" s="34"/>
      <c r="AQ5" s="34"/>
      <c r="AR5" s="34"/>
      <c r="AS5" s="34"/>
      <c r="AT5" s="34"/>
      <c r="AU5" s="26"/>
      <c r="AV5" s="26"/>
    </row>
    <row r="6" spans="1:49" ht="18" customHeight="1">
      <c r="A6" s="39">
        <f>COUNTIF($E$13:$H$43,"出勤")+COUNTIF($E$13:$H$43,"休業（時間）")</f>
        <v>19</v>
      </c>
      <c r="B6" s="39"/>
      <c r="C6" s="39"/>
      <c r="D6" s="39"/>
      <c r="E6" s="39"/>
      <c r="F6" s="39"/>
      <c r="G6" s="39"/>
      <c r="H6" s="39"/>
      <c r="I6" s="39">
        <f>COUNTIF($E$13:$H$43,"休日")</f>
        <v>12</v>
      </c>
      <c r="J6" s="39"/>
      <c r="K6" s="39"/>
      <c r="L6" s="39"/>
      <c r="M6" s="39"/>
      <c r="N6" s="39"/>
      <c r="O6" s="39"/>
      <c r="P6" s="39"/>
      <c r="Q6" s="39">
        <f>COUNTIF($E$13:$H$43,"有給")</f>
        <v>0</v>
      </c>
      <c r="R6" s="39"/>
      <c r="S6" s="39"/>
      <c r="T6" s="39"/>
      <c r="U6" s="39"/>
      <c r="V6" s="39"/>
      <c r="W6" s="39"/>
      <c r="X6" s="39"/>
      <c r="Y6" s="39">
        <f>COUNTIF($E$13:$H$43,"振休")</f>
        <v>0</v>
      </c>
      <c r="Z6" s="39"/>
      <c r="AA6" s="39"/>
      <c r="AB6" s="39"/>
      <c r="AC6" s="39"/>
      <c r="AD6" s="39"/>
      <c r="AE6" s="39"/>
      <c r="AF6" s="39"/>
      <c r="AG6" s="40">
        <f>COUNTIF($E$13:$H$43,"欠勤")</f>
        <v>0</v>
      </c>
      <c r="AH6" s="41"/>
      <c r="AI6" s="41"/>
      <c r="AJ6" s="41"/>
      <c r="AK6" s="41"/>
      <c r="AL6" s="41"/>
      <c r="AM6" s="41"/>
      <c r="AN6" s="42"/>
      <c r="AO6" s="39">
        <f>COUNTIF($E$13:$H$43,"休業")</f>
        <v>0</v>
      </c>
      <c r="AP6" s="39"/>
      <c r="AQ6" s="39"/>
      <c r="AR6" s="39"/>
      <c r="AS6" s="39"/>
      <c r="AT6" s="39"/>
    </row>
    <row r="7" spans="1:49" ht="18" customHeight="1">
      <c r="A7" s="27" t="s">
        <v>38</v>
      </c>
      <c r="B7" s="28"/>
      <c r="C7" s="28"/>
      <c r="D7" s="28"/>
      <c r="E7" s="28"/>
      <c r="F7" s="28"/>
      <c r="G7" s="28"/>
      <c r="H7" s="34" t="s">
        <v>39</v>
      </c>
      <c r="I7" s="34"/>
      <c r="J7" s="34"/>
      <c r="K7" s="34"/>
      <c r="L7" s="34"/>
      <c r="M7" s="34"/>
      <c r="N7" s="34"/>
      <c r="O7" s="27" t="s">
        <v>40</v>
      </c>
      <c r="P7" s="28"/>
      <c r="Q7" s="28"/>
      <c r="R7" s="28"/>
      <c r="S7" s="28"/>
      <c r="T7" s="28"/>
      <c r="U7" s="29"/>
      <c r="V7" s="34" t="s">
        <v>41</v>
      </c>
      <c r="W7" s="34"/>
      <c r="X7" s="34"/>
      <c r="Y7" s="34"/>
      <c r="Z7" s="34"/>
      <c r="AA7" s="34" t="s">
        <v>42</v>
      </c>
      <c r="AB7" s="34"/>
      <c r="AC7" s="34"/>
      <c r="AD7" s="34"/>
      <c r="AE7" s="34"/>
      <c r="AF7" s="34" t="s">
        <v>43</v>
      </c>
      <c r="AG7" s="34"/>
      <c r="AH7" s="34"/>
      <c r="AI7" s="34"/>
      <c r="AJ7" s="34"/>
      <c r="AK7" s="34" t="s">
        <v>44</v>
      </c>
      <c r="AL7" s="34"/>
      <c r="AM7" s="34"/>
      <c r="AN7" s="34"/>
      <c r="AO7" s="34"/>
      <c r="AP7" s="27" t="s">
        <v>45</v>
      </c>
      <c r="AQ7" s="28"/>
      <c r="AR7" s="28"/>
      <c r="AS7" s="28"/>
      <c r="AT7" s="29"/>
    </row>
    <row r="8" spans="1:49" ht="18" customHeight="1">
      <c r="A8" s="43">
        <f>SUM(AN13:AP43)</f>
        <v>0.33333333333333337</v>
      </c>
      <c r="B8" s="44"/>
      <c r="C8" s="44"/>
      <c r="D8" s="44"/>
      <c r="E8" s="44"/>
      <c r="F8" s="44"/>
      <c r="G8" s="44"/>
      <c r="H8" s="43">
        <f>SUM(AN13:AP43)-AS12-AQ12</f>
        <v>0.33333333333333337</v>
      </c>
      <c r="I8" s="44"/>
      <c r="J8" s="44"/>
      <c r="K8" s="44"/>
      <c r="L8" s="44"/>
      <c r="M8" s="44"/>
      <c r="N8" s="44"/>
      <c r="O8" s="43">
        <f>(SUM(R13:T43))-(SUM(O13:Q43))-(SUM(U13:W43))</f>
        <v>0.33333333333333337</v>
      </c>
      <c r="P8" s="44"/>
      <c r="Q8" s="44"/>
      <c r="R8" s="44"/>
      <c r="S8" s="44"/>
      <c r="T8" s="44"/>
      <c r="U8" s="45"/>
      <c r="V8" s="46">
        <f>(SUM(Z13:AC43))-(MAX((SUM(AL13:AM43)),0))</f>
        <v>0</v>
      </c>
      <c r="W8" s="47"/>
      <c r="X8" s="47"/>
      <c r="Y8" s="47"/>
      <c r="Z8" s="47"/>
      <c r="AA8" s="47">
        <f>SUM(AD13:AE43)</f>
        <v>0</v>
      </c>
      <c r="AB8" s="47"/>
      <c r="AC8" s="47"/>
      <c r="AD8" s="47"/>
      <c r="AE8" s="47"/>
      <c r="AF8" s="47">
        <f>SUM(AF13:AG43)</f>
        <v>0</v>
      </c>
      <c r="AG8" s="47"/>
      <c r="AH8" s="47"/>
      <c r="AI8" s="47"/>
      <c r="AJ8" s="47"/>
      <c r="AK8" s="47">
        <f>SUM(AH13:AI43)</f>
        <v>0</v>
      </c>
      <c r="AL8" s="47"/>
      <c r="AM8" s="47"/>
      <c r="AN8" s="47"/>
      <c r="AO8" s="47"/>
      <c r="AP8" s="43">
        <f>SUM(AJ13:AK43)</f>
        <v>0</v>
      </c>
      <c r="AQ8" s="44"/>
      <c r="AR8" s="44"/>
      <c r="AS8" s="44"/>
      <c r="AT8" s="45"/>
    </row>
    <row r="9" spans="1:49" ht="18" customHeight="1">
      <c r="AW9" s="25"/>
    </row>
    <row r="10" spans="1:49" ht="18" customHeight="1">
      <c r="A10" s="34" t="s">
        <v>46</v>
      </c>
      <c r="B10" s="34"/>
      <c r="C10" s="34" t="s">
        <v>47</v>
      </c>
      <c r="D10" s="34"/>
      <c r="E10" s="34" t="s">
        <v>48</v>
      </c>
      <c r="F10" s="34"/>
      <c r="G10" s="34"/>
      <c r="H10" s="34"/>
      <c r="I10" s="34" t="s">
        <v>49</v>
      </c>
      <c r="J10" s="34"/>
      <c r="K10" s="34"/>
      <c r="L10" s="34"/>
      <c r="M10" s="34"/>
      <c r="N10" s="34"/>
      <c r="O10" s="27" t="s">
        <v>40</v>
      </c>
      <c r="P10" s="28"/>
      <c r="Q10" s="28"/>
      <c r="R10" s="28"/>
      <c r="S10" s="28"/>
      <c r="T10" s="28"/>
      <c r="U10" s="28"/>
      <c r="V10" s="28"/>
      <c r="W10" s="29"/>
      <c r="X10" s="48" t="s">
        <v>39</v>
      </c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50"/>
      <c r="AN10" s="51" t="s">
        <v>50</v>
      </c>
      <c r="AO10" s="52"/>
      <c r="AP10" s="53"/>
      <c r="AQ10" s="54" t="s">
        <v>51</v>
      </c>
      <c r="AR10" s="55"/>
      <c r="AS10" s="54" t="s">
        <v>52</v>
      </c>
      <c r="AT10" s="55"/>
      <c r="AW10" s="25"/>
    </row>
    <row r="11" spans="1:49" ht="18" customHeight="1">
      <c r="A11" s="34"/>
      <c r="B11" s="34"/>
      <c r="C11" s="34"/>
      <c r="D11" s="34"/>
      <c r="E11" s="34"/>
      <c r="F11" s="34"/>
      <c r="G11" s="34"/>
      <c r="H11" s="34"/>
      <c r="I11" s="34" t="s">
        <v>53</v>
      </c>
      <c r="J11" s="34"/>
      <c r="K11" s="34"/>
      <c r="L11" s="34" t="s">
        <v>54</v>
      </c>
      <c r="M11" s="34"/>
      <c r="N11" s="34"/>
      <c r="O11" s="34" t="s">
        <v>55</v>
      </c>
      <c r="P11" s="34"/>
      <c r="Q11" s="34"/>
      <c r="R11" s="34" t="s">
        <v>56</v>
      </c>
      <c r="S11" s="34"/>
      <c r="T11" s="34"/>
      <c r="U11" s="51" t="s">
        <v>57</v>
      </c>
      <c r="V11" s="52"/>
      <c r="W11" s="53"/>
      <c r="X11" s="51" t="s">
        <v>58</v>
      </c>
      <c r="Y11" s="53"/>
      <c r="Z11" s="51" t="s">
        <v>59</v>
      </c>
      <c r="AA11" s="53"/>
      <c r="AB11" s="52" t="s">
        <v>60</v>
      </c>
      <c r="AC11" s="53"/>
      <c r="AD11" s="56" t="s">
        <v>61</v>
      </c>
      <c r="AE11" s="57"/>
      <c r="AF11" s="51" t="s">
        <v>62</v>
      </c>
      <c r="AG11" s="52"/>
      <c r="AH11" s="51" t="s">
        <v>63</v>
      </c>
      <c r="AI11" s="52"/>
      <c r="AJ11" s="58" t="s">
        <v>64</v>
      </c>
      <c r="AK11" s="59"/>
      <c r="AL11" s="58" t="s">
        <v>65</v>
      </c>
      <c r="AM11" s="59"/>
      <c r="AN11" s="60"/>
      <c r="AO11" s="61"/>
      <c r="AP11" s="62"/>
      <c r="AQ11" s="63"/>
      <c r="AR11" s="64"/>
      <c r="AS11" s="63"/>
      <c r="AT11" s="64"/>
      <c r="AW11" s="25"/>
    </row>
    <row r="12" spans="1:49" ht="18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65"/>
      <c r="V12" s="66"/>
      <c r="W12" s="67"/>
      <c r="X12" s="65"/>
      <c r="Y12" s="67"/>
      <c r="Z12" s="65"/>
      <c r="AA12" s="67"/>
      <c r="AB12" s="66"/>
      <c r="AC12" s="67"/>
      <c r="AD12" s="68" t="s">
        <v>66</v>
      </c>
      <c r="AE12" s="69"/>
      <c r="AF12" s="60"/>
      <c r="AG12" s="61"/>
      <c r="AH12" s="60"/>
      <c r="AI12" s="61"/>
      <c r="AJ12" s="70"/>
      <c r="AK12" s="71"/>
      <c r="AL12" s="70"/>
      <c r="AM12" s="71"/>
      <c r="AN12" s="65"/>
      <c r="AO12" s="66"/>
      <c r="AP12" s="67"/>
      <c r="AQ12" s="72">
        <f>SUM(AQ13:AQ43)</f>
        <v>0</v>
      </c>
      <c r="AR12" s="73"/>
      <c r="AS12" s="72">
        <f>SUM(AS13:AS43)</f>
        <v>0</v>
      </c>
      <c r="AT12" s="73"/>
    </row>
    <row r="13" spans="1:49" ht="18" customHeight="1">
      <c r="A13" s="74">
        <f>DATE(A1,D1,1)</f>
        <v>45292</v>
      </c>
      <c r="B13" s="74"/>
      <c r="C13" s="75">
        <f>A13</f>
        <v>45292</v>
      </c>
      <c r="D13" s="76"/>
      <c r="E13" s="77" t="s">
        <v>68</v>
      </c>
      <c r="F13" s="77"/>
      <c r="G13" s="77"/>
      <c r="H13" s="77"/>
      <c r="I13" s="78"/>
      <c r="J13" s="79"/>
      <c r="K13" s="80"/>
      <c r="L13" s="78"/>
      <c r="M13" s="79"/>
      <c r="N13" s="80"/>
      <c r="O13" s="91"/>
      <c r="P13" s="92"/>
      <c r="Q13" s="93"/>
      <c r="R13" s="91"/>
      <c r="S13" s="92"/>
      <c r="T13" s="93"/>
      <c r="U13" s="91"/>
      <c r="V13" s="92"/>
      <c r="W13" s="93"/>
      <c r="X13" s="43">
        <f>R13-O13-U13</f>
        <v>0</v>
      </c>
      <c r="Y13" s="45"/>
      <c r="Z13" s="81">
        <f>IF(E13="有給",0,(IF(E13="休業",0,(IF(E13="振休",0,(IF(E13="欠勤",0,(FLOOR((IF(O13-I13&lt;0,0,(VALUE(TEXT(O13-I13,"[h]:mm"))))),"00:01")))))))))</f>
        <v>0</v>
      </c>
      <c r="AA13" s="81"/>
      <c r="AB13" s="82">
        <f t="shared" ref="AB13:AB43" si="0">IF(L13-R13&lt;0,0,(L13-(IF(O13="",I13,R13))))</f>
        <v>0</v>
      </c>
      <c r="AC13" s="81"/>
      <c r="AD13" s="82">
        <f t="shared" ref="AD13:AD43" si="1">"5:00"-MIN(I13,"5:00")+MAX((L13&lt;I13)+L13,"22:00")-"22:00"</f>
        <v>0</v>
      </c>
      <c r="AE13" s="81"/>
      <c r="AF13" s="82">
        <f>IF(E13="出勤",(((IF(R13-L13&lt;0,0,R13-L13)))),0)</f>
        <v>0</v>
      </c>
      <c r="AG13" s="81"/>
      <c r="AH13" s="82">
        <f>IF(E13="出勤",(((IF(I13-O13&lt;0,0,I13-O13)))),0)</f>
        <v>0</v>
      </c>
      <c r="AI13" s="81"/>
      <c r="AJ13" s="82">
        <f>IF(E13="休日",0,(IF(E13="休業（時間）",((FLOOR((IF(I13-O13&lt;0,0,I13-O13)),"00:01"))+(FLOOR((IF(R13-L13&lt;0,0,R13-L13)),"00:01"))),0)))</f>
        <v>0</v>
      </c>
      <c r="AK13" s="81"/>
      <c r="AL13" s="83"/>
      <c r="AM13" s="84"/>
      <c r="AN13" s="82">
        <f>IF(E13="振休",0,(IF(E13="欠勤",0,(X13+Z13+AB13-AF13-AH13-AL13))))</f>
        <v>0</v>
      </c>
      <c r="AO13" s="81"/>
      <c r="AP13" s="85"/>
      <c r="AQ13" s="86" t="str">
        <f>IF(E13="有給",(R13-O13-U13)," ")</f>
        <v xml:space="preserve"> </v>
      </c>
      <c r="AR13" s="87"/>
      <c r="AS13" s="86" t="str">
        <f>IF(AN13&lt;=TIME(8,0,0)," ",(IF(AN13&gt;=X13,((MAX(AN13,0))-(IF(X13&lt;=TIME(8,0,0),TIME(8,0,0),X13)))," ")))</f>
        <v xml:space="preserve"> </v>
      </c>
      <c r="AT13" s="87"/>
      <c r="AV13" s="88" t="s">
        <v>48</v>
      </c>
    </row>
    <row r="14" spans="1:49" ht="18" customHeight="1">
      <c r="A14" s="74">
        <f>A13+1</f>
        <v>45293</v>
      </c>
      <c r="B14" s="74"/>
      <c r="C14" s="76">
        <f t="shared" ref="C14:C42" si="2">A14</f>
        <v>45293</v>
      </c>
      <c r="D14" s="76"/>
      <c r="E14" s="77" t="s">
        <v>68</v>
      </c>
      <c r="F14" s="77"/>
      <c r="G14" s="77"/>
      <c r="H14" s="77"/>
      <c r="I14" s="78"/>
      <c r="J14" s="79"/>
      <c r="K14" s="80"/>
      <c r="L14" s="78"/>
      <c r="M14" s="79"/>
      <c r="N14" s="80"/>
      <c r="O14" s="91"/>
      <c r="P14" s="92"/>
      <c r="Q14" s="93"/>
      <c r="R14" s="91"/>
      <c r="S14" s="92"/>
      <c r="T14" s="93"/>
      <c r="U14" s="91"/>
      <c r="V14" s="92"/>
      <c r="W14" s="93"/>
      <c r="X14" s="43">
        <f t="shared" ref="X14:X43" si="3">R14-O14-U14</f>
        <v>0</v>
      </c>
      <c r="Y14" s="45"/>
      <c r="Z14" s="81">
        <f t="shared" ref="Z14:Z43" si="4">IF(E14="有給",0,(IF(E14="休業",0,(IF(E14="振休",0,(IF(E14="欠勤",0,(FLOOR((IF(O14-I14&lt;0,0,(VALUE(TEXT(O14-I14,"[h]:mm"))))),"00:01")))))))))</f>
        <v>0</v>
      </c>
      <c r="AA14" s="81"/>
      <c r="AB14" s="82">
        <f t="shared" si="0"/>
        <v>0</v>
      </c>
      <c r="AC14" s="81"/>
      <c r="AD14" s="82">
        <f t="shared" si="1"/>
        <v>0</v>
      </c>
      <c r="AE14" s="81"/>
      <c r="AF14" s="82">
        <f t="shared" ref="AF14:AF43" si="5">IF(E14="出勤",(((IF(R14-L14&lt;0,0,R14-L14)))),0)</f>
        <v>0</v>
      </c>
      <c r="AG14" s="81"/>
      <c r="AH14" s="82">
        <f t="shared" ref="AH14:AH43" si="6">IF(E14="出勤",(((IF(I14-O14&lt;0,0,I14-O14)))),0)</f>
        <v>0</v>
      </c>
      <c r="AI14" s="81"/>
      <c r="AJ14" s="82">
        <f>IF(E14="休日",0,(IF(E14="休業（時間）",((FLOOR((IF(I14-O14&lt;0,0,I14-O14)),"00:01"))+(FLOOR((IF(R14-L14&lt;0,0,R14-L14)),"00:01"))),0)))</f>
        <v>0</v>
      </c>
      <c r="AK14" s="81"/>
      <c r="AL14" s="83"/>
      <c r="AM14" s="84"/>
      <c r="AN14" s="82">
        <f t="shared" ref="AN14:AN43" si="7">IF(E14="振休",0,(IF(E14="欠勤",0,(X14+Z14+AB14-AF14-AH14-AL14))))</f>
        <v>0</v>
      </c>
      <c r="AO14" s="81"/>
      <c r="AP14" s="85"/>
      <c r="AQ14" s="86" t="str">
        <f t="shared" ref="AQ14:AQ43" si="8">IF(E14="有給",(R14-O14-U14)," ")</f>
        <v xml:space="preserve"> </v>
      </c>
      <c r="AR14" s="87"/>
      <c r="AS14" s="86" t="str">
        <f>IF(AN14&lt;=TIME(8,0,0)," ",(IF(AN14&gt;=X14,((MAX(AN14,0))-(IF(X14&lt;=TIME(8,0,0),TIME(8,0,0),X14)))," ")))</f>
        <v xml:space="preserve"> </v>
      </c>
      <c r="AT14" s="87"/>
      <c r="AV14" s="89" t="s">
        <v>67</v>
      </c>
    </row>
    <row r="15" spans="1:49" ht="18" customHeight="1">
      <c r="A15" s="74">
        <f t="shared" ref="A15:A36" si="9">A14+1</f>
        <v>45294</v>
      </c>
      <c r="B15" s="74"/>
      <c r="C15" s="76">
        <f t="shared" si="2"/>
        <v>45294</v>
      </c>
      <c r="D15" s="76"/>
      <c r="E15" s="77" t="s">
        <v>68</v>
      </c>
      <c r="F15" s="77"/>
      <c r="G15" s="77"/>
      <c r="H15" s="77"/>
      <c r="I15" s="78"/>
      <c r="J15" s="79"/>
      <c r="K15" s="80"/>
      <c r="L15" s="78"/>
      <c r="M15" s="79"/>
      <c r="N15" s="80"/>
      <c r="O15" s="91"/>
      <c r="P15" s="92"/>
      <c r="Q15" s="93"/>
      <c r="R15" s="91"/>
      <c r="S15" s="92"/>
      <c r="T15" s="93"/>
      <c r="U15" s="91"/>
      <c r="V15" s="92"/>
      <c r="W15" s="93"/>
      <c r="X15" s="43">
        <f t="shared" si="3"/>
        <v>0</v>
      </c>
      <c r="Y15" s="45"/>
      <c r="Z15" s="81">
        <f t="shared" si="4"/>
        <v>0</v>
      </c>
      <c r="AA15" s="81"/>
      <c r="AB15" s="82">
        <f t="shared" si="0"/>
        <v>0</v>
      </c>
      <c r="AC15" s="81"/>
      <c r="AD15" s="82">
        <f t="shared" si="1"/>
        <v>0</v>
      </c>
      <c r="AE15" s="81"/>
      <c r="AF15" s="82">
        <f t="shared" si="5"/>
        <v>0</v>
      </c>
      <c r="AG15" s="81"/>
      <c r="AH15" s="82">
        <f t="shared" si="6"/>
        <v>0</v>
      </c>
      <c r="AI15" s="81"/>
      <c r="AJ15" s="82">
        <f t="shared" ref="AJ15:AJ43" si="10">IF(E15="休日",0,(IF(E15="休業（時間）",((FLOOR((IF(I15-O15&lt;0,0,I15-O15)),"00:01"))+(FLOOR((IF(R15-L15&lt;0,0,R15-L15)),"00:01"))),0)))</f>
        <v>0</v>
      </c>
      <c r="AK15" s="81"/>
      <c r="AL15" s="83"/>
      <c r="AM15" s="84"/>
      <c r="AN15" s="82">
        <f t="shared" si="7"/>
        <v>0</v>
      </c>
      <c r="AO15" s="81"/>
      <c r="AP15" s="85"/>
      <c r="AQ15" s="86" t="str">
        <f t="shared" si="8"/>
        <v xml:space="preserve"> </v>
      </c>
      <c r="AR15" s="87"/>
      <c r="AS15" s="86" t="str">
        <f t="shared" ref="AS15:AS43" si="11">IF(AN15&lt;=TIME(8,0,0)," ",(IF(AN15&gt;=X15,((MAX(AN15,0))-(IF(X15&lt;=TIME(8,0,0),TIME(8,0,0),X15)))," ")))</f>
        <v xml:space="preserve"> </v>
      </c>
      <c r="AT15" s="87"/>
      <c r="AV15" s="89" t="s">
        <v>68</v>
      </c>
    </row>
    <row r="16" spans="1:49" ht="18" customHeight="1">
      <c r="A16" s="74">
        <f>A15+1</f>
        <v>45295</v>
      </c>
      <c r="B16" s="74"/>
      <c r="C16" s="76">
        <f t="shared" si="2"/>
        <v>45295</v>
      </c>
      <c r="D16" s="76"/>
      <c r="E16" s="77" t="s">
        <v>67</v>
      </c>
      <c r="F16" s="77"/>
      <c r="G16" s="77"/>
      <c r="H16" s="77"/>
      <c r="I16" s="78">
        <v>0.33333333333333331</v>
      </c>
      <c r="J16" s="79"/>
      <c r="K16" s="80"/>
      <c r="L16" s="78">
        <v>0.70833333333333337</v>
      </c>
      <c r="M16" s="79"/>
      <c r="N16" s="80"/>
      <c r="O16" s="91">
        <v>0.33333333333333331</v>
      </c>
      <c r="P16" s="92"/>
      <c r="Q16" s="93"/>
      <c r="R16" s="91">
        <v>0.70833333333333337</v>
      </c>
      <c r="S16" s="92"/>
      <c r="T16" s="93"/>
      <c r="U16" s="91">
        <v>4.1666666666666664E-2</v>
      </c>
      <c r="V16" s="92"/>
      <c r="W16" s="93"/>
      <c r="X16" s="43">
        <f t="shared" si="3"/>
        <v>0.33333333333333337</v>
      </c>
      <c r="Y16" s="45"/>
      <c r="Z16" s="81">
        <f t="shared" si="4"/>
        <v>0</v>
      </c>
      <c r="AA16" s="81"/>
      <c r="AB16" s="82">
        <f>IF(L16-R16&lt;0,0,(L16-(IF(O16="",I16,R16))))</f>
        <v>0</v>
      </c>
      <c r="AC16" s="81"/>
      <c r="AD16" s="82">
        <f t="shared" si="1"/>
        <v>0</v>
      </c>
      <c r="AE16" s="81"/>
      <c r="AF16" s="82">
        <f t="shared" si="5"/>
        <v>0</v>
      </c>
      <c r="AG16" s="81"/>
      <c r="AH16" s="82">
        <f t="shared" si="6"/>
        <v>0</v>
      </c>
      <c r="AI16" s="81"/>
      <c r="AJ16" s="82">
        <f t="shared" si="10"/>
        <v>0</v>
      </c>
      <c r="AK16" s="81"/>
      <c r="AL16" s="83"/>
      <c r="AM16" s="84"/>
      <c r="AN16" s="82">
        <f t="shared" si="7"/>
        <v>0.33333333333333337</v>
      </c>
      <c r="AO16" s="81"/>
      <c r="AP16" s="85"/>
      <c r="AQ16" s="86" t="str">
        <f t="shared" si="8"/>
        <v xml:space="preserve"> </v>
      </c>
      <c r="AR16" s="87"/>
      <c r="AS16" s="86" t="str">
        <f t="shared" si="11"/>
        <v xml:space="preserve"> </v>
      </c>
      <c r="AT16" s="87"/>
      <c r="AV16" s="89" t="s">
        <v>69</v>
      </c>
    </row>
    <row r="17" spans="1:48" ht="18" customHeight="1">
      <c r="A17" s="74">
        <f t="shared" si="9"/>
        <v>45296</v>
      </c>
      <c r="B17" s="74"/>
      <c r="C17" s="76">
        <f t="shared" si="2"/>
        <v>45296</v>
      </c>
      <c r="D17" s="76"/>
      <c r="E17" s="77" t="s">
        <v>67</v>
      </c>
      <c r="F17" s="77"/>
      <c r="G17" s="77"/>
      <c r="H17" s="77"/>
      <c r="I17" s="78"/>
      <c r="J17" s="79"/>
      <c r="K17" s="80"/>
      <c r="L17" s="78"/>
      <c r="M17" s="79"/>
      <c r="N17" s="80"/>
      <c r="O17" s="91"/>
      <c r="P17" s="92"/>
      <c r="Q17" s="93"/>
      <c r="R17" s="91"/>
      <c r="S17" s="92"/>
      <c r="T17" s="93"/>
      <c r="U17" s="91"/>
      <c r="V17" s="92"/>
      <c r="W17" s="93"/>
      <c r="X17" s="43">
        <f t="shared" si="3"/>
        <v>0</v>
      </c>
      <c r="Y17" s="45"/>
      <c r="Z17" s="81">
        <f t="shared" si="4"/>
        <v>0</v>
      </c>
      <c r="AA17" s="81"/>
      <c r="AB17" s="82">
        <f t="shared" si="0"/>
        <v>0</v>
      </c>
      <c r="AC17" s="81"/>
      <c r="AD17" s="82">
        <f t="shared" si="1"/>
        <v>0</v>
      </c>
      <c r="AE17" s="81"/>
      <c r="AF17" s="82">
        <f t="shared" si="5"/>
        <v>0</v>
      </c>
      <c r="AG17" s="81"/>
      <c r="AH17" s="82">
        <f t="shared" si="6"/>
        <v>0</v>
      </c>
      <c r="AI17" s="81"/>
      <c r="AJ17" s="82">
        <f t="shared" si="10"/>
        <v>0</v>
      </c>
      <c r="AK17" s="81"/>
      <c r="AL17" s="83"/>
      <c r="AM17" s="84"/>
      <c r="AN17" s="82">
        <f t="shared" si="7"/>
        <v>0</v>
      </c>
      <c r="AO17" s="81"/>
      <c r="AP17" s="85"/>
      <c r="AQ17" s="86" t="str">
        <f t="shared" si="8"/>
        <v xml:space="preserve"> </v>
      </c>
      <c r="AR17" s="87"/>
      <c r="AS17" s="86" t="str">
        <f t="shared" si="11"/>
        <v xml:space="preserve"> </v>
      </c>
      <c r="AT17" s="87"/>
      <c r="AV17" s="89" t="s">
        <v>70</v>
      </c>
    </row>
    <row r="18" spans="1:48" ht="18" customHeight="1">
      <c r="A18" s="74">
        <f t="shared" si="9"/>
        <v>45297</v>
      </c>
      <c r="B18" s="74"/>
      <c r="C18" s="76">
        <f t="shared" si="2"/>
        <v>45297</v>
      </c>
      <c r="D18" s="76"/>
      <c r="E18" s="77" t="s">
        <v>68</v>
      </c>
      <c r="F18" s="77"/>
      <c r="G18" s="77"/>
      <c r="H18" s="77"/>
      <c r="I18" s="78"/>
      <c r="J18" s="79"/>
      <c r="K18" s="80"/>
      <c r="L18" s="78"/>
      <c r="M18" s="79"/>
      <c r="N18" s="80"/>
      <c r="O18" s="91"/>
      <c r="P18" s="92"/>
      <c r="Q18" s="93"/>
      <c r="R18" s="91"/>
      <c r="S18" s="92"/>
      <c r="T18" s="93"/>
      <c r="U18" s="91"/>
      <c r="V18" s="92"/>
      <c r="W18" s="93"/>
      <c r="X18" s="43">
        <f t="shared" si="3"/>
        <v>0</v>
      </c>
      <c r="Y18" s="45"/>
      <c r="Z18" s="81">
        <f t="shared" si="4"/>
        <v>0</v>
      </c>
      <c r="AA18" s="81"/>
      <c r="AB18" s="82">
        <f t="shared" si="0"/>
        <v>0</v>
      </c>
      <c r="AC18" s="81"/>
      <c r="AD18" s="82">
        <f t="shared" si="1"/>
        <v>0</v>
      </c>
      <c r="AE18" s="81"/>
      <c r="AF18" s="82">
        <f t="shared" si="5"/>
        <v>0</v>
      </c>
      <c r="AG18" s="81"/>
      <c r="AH18" s="82">
        <f t="shared" si="6"/>
        <v>0</v>
      </c>
      <c r="AI18" s="81"/>
      <c r="AJ18" s="82">
        <f t="shared" si="10"/>
        <v>0</v>
      </c>
      <c r="AK18" s="81"/>
      <c r="AL18" s="83"/>
      <c r="AM18" s="84"/>
      <c r="AN18" s="82">
        <f t="shared" si="7"/>
        <v>0</v>
      </c>
      <c r="AO18" s="81"/>
      <c r="AP18" s="85"/>
      <c r="AQ18" s="86" t="str">
        <f t="shared" si="8"/>
        <v xml:space="preserve"> </v>
      </c>
      <c r="AR18" s="87"/>
      <c r="AS18" s="86" t="str">
        <f t="shared" si="11"/>
        <v xml:space="preserve"> </v>
      </c>
      <c r="AT18" s="87"/>
      <c r="AV18" s="89" t="s">
        <v>71</v>
      </c>
    </row>
    <row r="19" spans="1:48" ht="18" customHeight="1">
      <c r="A19" s="74">
        <f t="shared" si="9"/>
        <v>45298</v>
      </c>
      <c r="B19" s="74"/>
      <c r="C19" s="76">
        <f t="shared" si="2"/>
        <v>45298</v>
      </c>
      <c r="D19" s="76"/>
      <c r="E19" s="77" t="s">
        <v>68</v>
      </c>
      <c r="F19" s="77"/>
      <c r="G19" s="77"/>
      <c r="H19" s="77"/>
      <c r="I19" s="78"/>
      <c r="J19" s="79"/>
      <c r="K19" s="80"/>
      <c r="L19" s="78"/>
      <c r="M19" s="79"/>
      <c r="N19" s="80"/>
      <c r="O19" s="91"/>
      <c r="P19" s="92"/>
      <c r="Q19" s="93"/>
      <c r="R19" s="91"/>
      <c r="S19" s="92"/>
      <c r="T19" s="93"/>
      <c r="U19" s="91"/>
      <c r="V19" s="92"/>
      <c r="W19" s="93"/>
      <c r="X19" s="43">
        <f t="shared" si="3"/>
        <v>0</v>
      </c>
      <c r="Y19" s="45"/>
      <c r="Z19" s="81">
        <f t="shared" si="4"/>
        <v>0</v>
      </c>
      <c r="AA19" s="81"/>
      <c r="AB19" s="82">
        <f t="shared" si="0"/>
        <v>0</v>
      </c>
      <c r="AC19" s="81"/>
      <c r="AD19" s="82">
        <f t="shared" si="1"/>
        <v>0</v>
      </c>
      <c r="AE19" s="81"/>
      <c r="AF19" s="82">
        <f t="shared" si="5"/>
        <v>0</v>
      </c>
      <c r="AG19" s="81"/>
      <c r="AH19" s="82">
        <f t="shared" si="6"/>
        <v>0</v>
      </c>
      <c r="AI19" s="81"/>
      <c r="AJ19" s="82">
        <f t="shared" si="10"/>
        <v>0</v>
      </c>
      <c r="AK19" s="81"/>
      <c r="AL19" s="83"/>
      <c r="AM19" s="84"/>
      <c r="AN19" s="82">
        <f t="shared" si="7"/>
        <v>0</v>
      </c>
      <c r="AO19" s="81"/>
      <c r="AP19" s="85"/>
      <c r="AQ19" s="86" t="str">
        <f t="shared" si="8"/>
        <v xml:space="preserve"> </v>
      </c>
      <c r="AR19" s="87"/>
      <c r="AS19" s="86" t="str">
        <f t="shared" si="11"/>
        <v xml:space="preserve"> </v>
      </c>
      <c r="AT19" s="87"/>
      <c r="AV19" s="89" t="s">
        <v>72</v>
      </c>
    </row>
    <row r="20" spans="1:48" ht="18" customHeight="1">
      <c r="A20" s="74">
        <f t="shared" si="9"/>
        <v>45299</v>
      </c>
      <c r="B20" s="74"/>
      <c r="C20" s="76">
        <f t="shared" si="2"/>
        <v>45299</v>
      </c>
      <c r="D20" s="76"/>
      <c r="E20" s="77" t="s">
        <v>68</v>
      </c>
      <c r="F20" s="77"/>
      <c r="G20" s="77"/>
      <c r="H20" s="77"/>
      <c r="I20" s="78"/>
      <c r="J20" s="79"/>
      <c r="K20" s="80"/>
      <c r="L20" s="78"/>
      <c r="M20" s="79"/>
      <c r="N20" s="80"/>
      <c r="O20" s="91"/>
      <c r="P20" s="92"/>
      <c r="Q20" s="93"/>
      <c r="R20" s="91"/>
      <c r="S20" s="92"/>
      <c r="T20" s="93"/>
      <c r="U20" s="91"/>
      <c r="V20" s="92"/>
      <c r="W20" s="93"/>
      <c r="X20" s="43">
        <f t="shared" si="3"/>
        <v>0</v>
      </c>
      <c r="Y20" s="45"/>
      <c r="Z20" s="81">
        <f t="shared" si="4"/>
        <v>0</v>
      </c>
      <c r="AA20" s="81"/>
      <c r="AB20" s="82">
        <f t="shared" si="0"/>
        <v>0</v>
      </c>
      <c r="AC20" s="81"/>
      <c r="AD20" s="82">
        <f t="shared" si="1"/>
        <v>0</v>
      </c>
      <c r="AE20" s="81"/>
      <c r="AF20" s="82">
        <f t="shared" si="5"/>
        <v>0</v>
      </c>
      <c r="AG20" s="81"/>
      <c r="AH20" s="82">
        <f t="shared" si="6"/>
        <v>0</v>
      </c>
      <c r="AI20" s="81"/>
      <c r="AJ20" s="82">
        <f t="shared" si="10"/>
        <v>0</v>
      </c>
      <c r="AK20" s="81"/>
      <c r="AL20" s="83"/>
      <c r="AM20" s="84"/>
      <c r="AN20" s="82">
        <f t="shared" si="7"/>
        <v>0</v>
      </c>
      <c r="AO20" s="81"/>
      <c r="AP20" s="85"/>
      <c r="AQ20" s="86" t="str">
        <f t="shared" si="8"/>
        <v xml:space="preserve"> </v>
      </c>
      <c r="AR20" s="87"/>
      <c r="AS20" s="86" t="str">
        <f t="shared" si="11"/>
        <v xml:space="preserve"> </v>
      </c>
      <c r="AT20" s="87"/>
      <c r="AV20" s="89" t="s">
        <v>73</v>
      </c>
    </row>
    <row r="21" spans="1:48" ht="18" customHeight="1">
      <c r="A21" s="74">
        <f t="shared" si="9"/>
        <v>45300</v>
      </c>
      <c r="B21" s="74"/>
      <c r="C21" s="76">
        <f t="shared" si="2"/>
        <v>45300</v>
      </c>
      <c r="D21" s="76"/>
      <c r="E21" s="77" t="s">
        <v>67</v>
      </c>
      <c r="F21" s="77"/>
      <c r="G21" s="77"/>
      <c r="H21" s="77"/>
      <c r="I21" s="78"/>
      <c r="J21" s="79"/>
      <c r="K21" s="80"/>
      <c r="L21" s="78"/>
      <c r="M21" s="79"/>
      <c r="N21" s="80"/>
      <c r="O21" s="91"/>
      <c r="P21" s="92"/>
      <c r="Q21" s="93"/>
      <c r="R21" s="91"/>
      <c r="S21" s="92"/>
      <c r="T21" s="93"/>
      <c r="U21" s="91"/>
      <c r="V21" s="92"/>
      <c r="W21" s="93"/>
      <c r="X21" s="43">
        <f t="shared" si="3"/>
        <v>0</v>
      </c>
      <c r="Y21" s="45"/>
      <c r="Z21" s="81">
        <f t="shared" si="4"/>
        <v>0</v>
      </c>
      <c r="AA21" s="81"/>
      <c r="AB21" s="82">
        <f t="shared" si="0"/>
        <v>0</v>
      </c>
      <c r="AC21" s="81"/>
      <c r="AD21" s="82">
        <f t="shared" si="1"/>
        <v>0</v>
      </c>
      <c r="AE21" s="81"/>
      <c r="AF21" s="82">
        <f t="shared" si="5"/>
        <v>0</v>
      </c>
      <c r="AG21" s="81"/>
      <c r="AH21" s="82">
        <f t="shared" si="6"/>
        <v>0</v>
      </c>
      <c r="AI21" s="81"/>
      <c r="AJ21" s="82">
        <f t="shared" si="10"/>
        <v>0</v>
      </c>
      <c r="AK21" s="81"/>
      <c r="AL21" s="83"/>
      <c r="AM21" s="84"/>
      <c r="AN21" s="82">
        <f t="shared" si="7"/>
        <v>0</v>
      </c>
      <c r="AO21" s="81"/>
      <c r="AP21" s="85"/>
      <c r="AQ21" s="86" t="str">
        <f t="shared" si="8"/>
        <v xml:space="preserve"> </v>
      </c>
      <c r="AR21" s="87"/>
      <c r="AS21" s="86" t="str">
        <f t="shared" si="11"/>
        <v xml:space="preserve"> </v>
      </c>
      <c r="AT21" s="87"/>
      <c r="AV21" s="89"/>
    </row>
    <row r="22" spans="1:48" ht="18" customHeight="1">
      <c r="A22" s="74">
        <f t="shared" si="9"/>
        <v>45301</v>
      </c>
      <c r="B22" s="74"/>
      <c r="C22" s="76">
        <f t="shared" si="2"/>
        <v>45301</v>
      </c>
      <c r="D22" s="76"/>
      <c r="E22" s="77" t="s">
        <v>67</v>
      </c>
      <c r="F22" s="77"/>
      <c r="G22" s="77"/>
      <c r="H22" s="77"/>
      <c r="I22" s="78"/>
      <c r="J22" s="79"/>
      <c r="K22" s="80"/>
      <c r="L22" s="78"/>
      <c r="M22" s="79"/>
      <c r="N22" s="80"/>
      <c r="O22" s="91"/>
      <c r="P22" s="92"/>
      <c r="Q22" s="93"/>
      <c r="R22" s="91"/>
      <c r="S22" s="92"/>
      <c r="T22" s="93"/>
      <c r="U22" s="91"/>
      <c r="V22" s="92"/>
      <c r="W22" s="93"/>
      <c r="X22" s="43">
        <f t="shared" si="3"/>
        <v>0</v>
      </c>
      <c r="Y22" s="45"/>
      <c r="Z22" s="81">
        <f t="shared" si="4"/>
        <v>0</v>
      </c>
      <c r="AA22" s="81"/>
      <c r="AB22" s="82">
        <f t="shared" si="0"/>
        <v>0</v>
      </c>
      <c r="AC22" s="81"/>
      <c r="AD22" s="82">
        <f t="shared" si="1"/>
        <v>0</v>
      </c>
      <c r="AE22" s="81"/>
      <c r="AF22" s="82">
        <f t="shared" si="5"/>
        <v>0</v>
      </c>
      <c r="AG22" s="81"/>
      <c r="AH22" s="82">
        <f t="shared" si="6"/>
        <v>0</v>
      </c>
      <c r="AI22" s="81"/>
      <c r="AJ22" s="82">
        <f t="shared" si="10"/>
        <v>0</v>
      </c>
      <c r="AK22" s="81"/>
      <c r="AL22" s="83"/>
      <c r="AM22" s="84"/>
      <c r="AN22" s="82">
        <f t="shared" si="7"/>
        <v>0</v>
      </c>
      <c r="AO22" s="81"/>
      <c r="AP22" s="85"/>
      <c r="AQ22" s="86" t="str">
        <f t="shared" si="8"/>
        <v xml:space="preserve"> </v>
      </c>
      <c r="AR22" s="87"/>
      <c r="AS22" s="86" t="str">
        <f t="shared" si="11"/>
        <v xml:space="preserve"> </v>
      </c>
      <c r="AT22" s="87"/>
      <c r="AV22" s="89"/>
    </row>
    <row r="23" spans="1:48" ht="18" customHeight="1">
      <c r="A23" s="74">
        <f t="shared" si="9"/>
        <v>45302</v>
      </c>
      <c r="B23" s="74"/>
      <c r="C23" s="76">
        <f t="shared" si="2"/>
        <v>45302</v>
      </c>
      <c r="D23" s="76"/>
      <c r="E23" s="77" t="s">
        <v>67</v>
      </c>
      <c r="F23" s="77"/>
      <c r="G23" s="77"/>
      <c r="H23" s="77"/>
      <c r="I23" s="78"/>
      <c r="J23" s="79"/>
      <c r="K23" s="80"/>
      <c r="L23" s="78"/>
      <c r="M23" s="79"/>
      <c r="N23" s="80"/>
      <c r="O23" s="91"/>
      <c r="P23" s="92"/>
      <c r="Q23" s="93"/>
      <c r="R23" s="91"/>
      <c r="S23" s="92"/>
      <c r="T23" s="93"/>
      <c r="U23" s="91"/>
      <c r="V23" s="92"/>
      <c r="W23" s="93"/>
      <c r="X23" s="43">
        <f t="shared" si="3"/>
        <v>0</v>
      </c>
      <c r="Y23" s="45"/>
      <c r="Z23" s="81">
        <f t="shared" si="4"/>
        <v>0</v>
      </c>
      <c r="AA23" s="81"/>
      <c r="AB23" s="82">
        <f t="shared" si="0"/>
        <v>0</v>
      </c>
      <c r="AC23" s="81"/>
      <c r="AD23" s="82">
        <f t="shared" si="1"/>
        <v>0</v>
      </c>
      <c r="AE23" s="81"/>
      <c r="AF23" s="82">
        <f t="shared" si="5"/>
        <v>0</v>
      </c>
      <c r="AG23" s="81"/>
      <c r="AH23" s="82">
        <f t="shared" si="6"/>
        <v>0</v>
      </c>
      <c r="AI23" s="81"/>
      <c r="AJ23" s="82">
        <f t="shared" si="10"/>
        <v>0</v>
      </c>
      <c r="AK23" s="81"/>
      <c r="AL23" s="83"/>
      <c r="AM23" s="84"/>
      <c r="AN23" s="82">
        <f t="shared" si="7"/>
        <v>0</v>
      </c>
      <c r="AO23" s="81"/>
      <c r="AP23" s="85"/>
      <c r="AQ23" s="86" t="str">
        <f t="shared" si="8"/>
        <v xml:space="preserve"> </v>
      </c>
      <c r="AR23" s="87"/>
      <c r="AS23" s="86" t="str">
        <f t="shared" si="11"/>
        <v xml:space="preserve"> </v>
      </c>
      <c r="AT23" s="87"/>
      <c r="AV23" s="89"/>
    </row>
    <row r="24" spans="1:48" ht="18" customHeight="1">
      <c r="A24" s="74">
        <f>A23+1</f>
        <v>45303</v>
      </c>
      <c r="B24" s="74"/>
      <c r="C24" s="76">
        <f t="shared" si="2"/>
        <v>45303</v>
      </c>
      <c r="D24" s="76"/>
      <c r="E24" s="77" t="s">
        <v>67</v>
      </c>
      <c r="F24" s="77"/>
      <c r="G24" s="77"/>
      <c r="H24" s="77"/>
      <c r="I24" s="78"/>
      <c r="J24" s="79"/>
      <c r="K24" s="80"/>
      <c r="L24" s="78"/>
      <c r="M24" s="79"/>
      <c r="N24" s="80"/>
      <c r="O24" s="91"/>
      <c r="P24" s="92"/>
      <c r="Q24" s="93"/>
      <c r="R24" s="91"/>
      <c r="S24" s="92"/>
      <c r="T24" s="93"/>
      <c r="U24" s="91"/>
      <c r="V24" s="92"/>
      <c r="W24" s="93"/>
      <c r="X24" s="43">
        <f t="shared" si="3"/>
        <v>0</v>
      </c>
      <c r="Y24" s="45"/>
      <c r="Z24" s="81">
        <f t="shared" si="4"/>
        <v>0</v>
      </c>
      <c r="AA24" s="81"/>
      <c r="AB24" s="82">
        <f t="shared" si="0"/>
        <v>0</v>
      </c>
      <c r="AC24" s="81"/>
      <c r="AD24" s="82">
        <f t="shared" si="1"/>
        <v>0</v>
      </c>
      <c r="AE24" s="81"/>
      <c r="AF24" s="82">
        <f t="shared" si="5"/>
        <v>0</v>
      </c>
      <c r="AG24" s="81"/>
      <c r="AH24" s="82">
        <f t="shared" si="6"/>
        <v>0</v>
      </c>
      <c r="AI24" s="81"/>
      <c r="AJ24" s="82">
        <f t="shared" si="10"/>
        <v>0</v>
      </c>
      <c r="AK24" s="81"/>
      <c r="AL24" s="83"/>
      <c r="AM24" s="84"/>
      <c r="AN24" s="82">
        <f t="shared" si="7"/>
        <v>0</v>
      </c>
      <c r="AO24" s="81"/>
      <c r="AP24" s="85"/>
      <c r="AQ24" s="86" t="str">
        <f t="shared" si="8"/>
        <v xml:space="preserve"> </v>
      </c>
      <c r="AR24" s="87"/>
      <c r="AS24" s="86" t="str">
        <f t="shared" si="11"/>
        <v xml:space="preserve"> </v>
      </c>
      <c r="AT24" s="87"/>
    </row>
    <row r="25" spans="1:48" ht="18" customHeight="1">
      <c r="A25" s="74">
        <f t="shared" si="9"/>
        <v>45304</v>
      </c>
      <c r="B25" s="74"/>
      <c r="C25" s="76">
        <f t="shared" si="2"/>
        <v>45304</v>
      </c>
      <c r="D25" s="76"/>
      <c r="E25" s="77" t="s">
        <v>68</v>
      </c>
      <c r="F25" s="77"/>
      <c r="G25" s="77"/>
      <c r="H25" s="77"/>
      <c r="I25" s="78"/>
      <c r="J25" s="79"/>
      <c r="K25" s="80"/>
      <c r="L25" s="78"/>
      <c r="M25" s="79"/>
      <c r="N25" s="80"/>
      <c r="O25" s="91"/>
      <c r="P25" s="92"/>
      <c r="Q25" s="93"/>
      <c r="R25" s="91"/>
      <c r="S25" s="92"/>
      <c r="T25" s="93"/>
      <c r="U25" s="91"/>
      <c r="V25" s="92"/>
      <c r="W25" s="93"/>
      <c r="X25" s="43">
        <f t="shared" si="3"/>
        <v>0</v>
      </c>
      <c r="Y25" s="45"/>
      <c r="Z25" s="81">
        <f t="shared" si="4"/>
        <v>0</v>
      </c>
      <c r="AA25" s="81"/>
      <c r="AB25" s="82">
        <f t="shared" si="0"/>
        <v>0</v>
      </c>
      <c r="AC25" s="81"/>
      <c r="AD25" s="82">
        <f t="shared" si="1"/>
        <v>0</v>
      </c>
      <c r="AE25" s="81"/>
      <c r="AF25" s="82">
        <f t="shared" si="5"/>
        <v>0</v>
      </c>
      <c r="AG25" s="81"/>
      <c r="AH25" s="82">
        <f t="shared" si="6"/>
        <v>0</v>
      </c>
      <c r="AI25" s="81"/>
      <c r="AJ25" s="82">
        <f t="shared" si="10"/>
        <v>0</v>
      </c>
      <c r="AK25" s="81"/>
      <c r="AL25" s="83"/>
      <c r="AM25" s="84"/>
      <c r="AN25" s="82">
        <f t="shared" si="7"/>
        <v>0</v>
      </c>
      <c r="AO25" s="81"/>
      <c r="AP25" s="85"/>
      <c r="AQ25" s="86" t="str">
        <f t="shared" si="8"/>
        <v xml:space="preserve"> </v>
      </c>
      <c r="AR25" s="87"/>
      <c r="AS25" s="86" t="str">
        <f t="shared" si="11"/>
        <v xml:space="preserve"> </v>
      </c>
      <c r="AT25" s="87"/>
    </row>
    <row r="26" spans="1:48" ht="18" customHeight="1">
      <c r="A26" s="74">
        <f t="shared" si="9"/>
        <v>45305</v>
      </c>
      <c r="B26" s="74"/>
      <c r="C26" s="76">
        <f t="shared" si="2"/>
        <v>45305</v>
      </c>
      <c r="D26" s="76"/>
      <c r="E26" s="77" t="s">
        <v>68</v>
      </c>
      <c r="F26" s="77"/>
      <c r="G26" s="77"/>
      <c r="H26" s="77"/>
      <c r="I26" s="78"/>
      <c r="J26" s="79"/>
      <c r="K26" s="80"/>
      <c r="L26" s="78"/>
      <c r="M26" s="79"/>
      <c r="N26" s="80"/>
      <c r="O26" s="91"/>
      <c r="P26" s="92"/>
      <c r="Q26" s="93"/>
      <c r="R26" s="91"/>
      <c r="S26" s="92"/>
      <c r="T26" s="93"/>
      <c r="U26" s="91"/>
      <c r="V26" s="92"/>
      <c r="W26" s="93"/>
      <c r="X26" s="43">
        <f t="shared" si="3"/>
        <v>0</v>
      </c>
      <c r="Y26" s="45"/>
      <c r="Z26" s="81">
        <f t="shared" si="4"/>
        <v>0</v>
      </c>
      <c r="AA26" s="81"/>
      <c r="AB26" s="82">
        <f t="shared" si="0"/>
        <v>0</v>
      </c>
      <c r="AC26" s="81"/>
      <c r="AD26" s="82">
        <f t="shared" si="1"/>
        <v>0</v>
      </c>
      <c r="AE26" s="81"/>
      <c r="AF26" s="82">
        <f t="shared" si="5"/>
        <v>0</v>
      </c>
      <c r="AG26" s="81"/>
      <c r="AH26" s="82">
        <f t="shared" si="6"/>
        <v>0</v>
      </c>
      <c r="AI26" s="81"/>
      <c r="AJ26" s="82">
        <f t="shared" si="10"/>
        <v>0</v>
      </c>
      <c r="AK26" s="81"/>
      <c r="AL26" s="83"/>
      <c r="AM26" s="84"/>
      <c r="AN26" s="82">
        <f t="shared" si="7"/>
        <v>0</v>
      </c>
      <c r="AO26" s="81"/>
      <c r="AP26" s="85"/>
      <c r="AQ26" s="86" t="str">
        <f t="shared" si="8"/>
        <v xml:space="preserve"> </v>
      </c>
      <c r="AR26" s="87"/>
      <c r="AS26" s="86" t="str">
        <f t="shared" si="11"/>
        <v xml:space="preserve"> </v>
      </c>
      <c r="AT26" s="87"/>
    </row>
    <row r="27" spans="1:48" ht="18" customHeight="1">
      <c r="A27" s="74">
        <f t="shared" si="9"/>
        <v>45306</v>
      </c>
      <c r="B27" s="74"/>
      <c r="C27" s="76">
        <f t="shared" si="2"/>
        <v>45306</v>
      </c>
      <c r="D27" s="76"/>
      <c r="E27" s="77" t="s">
        <v>67</v>
      </c>
      <c r="F27" s="77"/>
      <c r="G27" s="77"/>
      <c r="H27" s="77"/>
      <c r="I27" s="78"/>
      <c r="J27" s="79"/>
      <c r="K27" s="80"/>
      <c r="L27" s="78"/>
      <c r="M27" s="79"/>
      <c r="N27" s="80"/>
      <c r="O27" s="91"/>
      <c r="P27" s="92"/>
      <c r="Q27" s="93"/>
      <c r="R27" s="91"/>
      <c r="S27" s="92"/>
      <c r="T27" s="93"/>
      <c r="U27" s="91"/>
      <c r="V27" s="92"/>
      <c r="W27" s="93"/>
      <c r="X27" s="43">
        <f t="shared" si="3"/>
        <v>0</v>
      </c>
      <c r="Y27" s="45"/>
      <c r="Z27" s="81">
        <f t="shared" si="4"/>
        <v>0</v>
      </c>
      <c r="AA27" s="81"/>
      <c r="AB27" s="82">
        <f t="shared" si="0"/>
        <v>0</v>
      </c>
      <c r="AC27" s="81"/>
      <c r="AD27" s="82">
        <f t="shared" si="1"/>
        <v>0</v>
      </c>
      <c r="AE27" s="81"/>
      <c r="AF27" s="82">
        <f t="shared" si="5"/>
        <v>0</v>
      </c>
      <c r="AG27" s="81"/>
      <c r="AH27" s="82">
        <f t="shared" si="6"/>
        <v>0</v>
      </c>
      <c r="AI27" s="81"/>
      <c r="AJ27" s="82">
        <f t="shared" si="10"/>
        <v>0</v>
      </c>
      <c r="AK27" s="81"/>
      <c r="AL27" s="83"/>
      <c r="AM27" s="84"/>
      <c r="AN27" s="82">
        <f t="shared" si="7"/>
        <v>0</v>
      </c>
      <c r="AO27" s="81"/>
      <c r="AP27" s="85"/>
      <c r="AQ27" s="86" t="str">
        <f t="shared" si="8"/>
        <v xml:space="preserve"> </v>
      </c>
      <c r="AR27" s="87"/>
      <c r="AS27" s="86" t="str">
        <f t="shared" si="11"/>
        <v xml:space="preserve"> </v>
      </c>
      <c r="AT27" s="87"/>
    </row>
    <row r="28" spans="1:48" ht="18" customHeight="1">
      <c r="A28" s="74">
        <f t="shared" si="9"/>
        <v>45307</v>
      </c>
      <c r="B28" s="74"/>
      <c r="C28" s="76">
        <f t="shared" si="2"/>
        <v>45307</v>
      </c>
      <c r="D28" s="76"/>
      <c r="E28" s="77" t="s">
        <v>67</v>
      </c>
      <c r="F28" s="77"/>
      <c r="G28" s="77"/>
      <c r="H28" s="77"/>
      <c r="I28" s="78"/>
      <c r="J28" s="79"/>
      <c r="K28" s="80"/>
      <c r="L28" s="78"/>
      <c r="M28" s="79"/>
      <c r="N28" s="80"/>
      <c r="O28" s="91"/>
      <c r="P28" s="92"/>
      <c r="Q28" s="93"/>
      <c r="R28" s="91"/>
      <c r="S28" s="92"/>
      <c r="T28" s="93"/>
      <c r="U28" s="91"/>
      <c r="V28" s="92"/>
      <c r="W28" s="93"/>
      <c r="X28" s="43">
        <f t="shared" si="3"/>
        <v>0</v>
      </c>
      <c r="Y28" s="45"/>
      <c r="Z28" s="81">
        <f t="shared" si="4"/>
        <v>0</v>
      </c>
      <c r="AA28" s="81"/>
      <c r="AB28" s="82">
        <f t="shared" si="0"/>
        <v>0</v>
      </c>
      <c r="AC28" s="81"/>
      <c r="AD28" s="82">
        <f t="shared" si="1"/>
        <v>0</v>
      </c>
      <c r="AE28" s="81"/>
      <c r="AF28" s="82">
        <f t="shared" si="5"/>
        <v>0</v>
      </c>
      <c r="AG28" s="81"/>
      <c r="AH28" s="82">
        <f t="shared" si="6"/>
        <v>0</v>
      </c>
      <c r="AI28" s="81"/>
      <c r="AJ28" s="82">
        <f t="shared" si="10"/>
        <v>0</v>
      </c>
      <c r="AK28" s="81"/>
      <c r="AL28" s="83"/>
      <c r="AM28" s="84"/>
      <c r="AN28" s="82">
        <f t="shared" si="7"/>
        <v>0</v>
      </c>
      <c r="AO28" s="81"/>
      <c r="AP28" s="85"/>
      <c r="AQ28" s="86" t="str">
        <f t="shared" si="8"/>
        <v xml:space="preserve"> </v>
      </c>
      <c r="AR28" s="87"/>
      <c r="AS28" s="86" t="str">
        <f t="shared" si="11"/>
        <v xml:space="preserve"> </v>
      </c>
      <c r="AT28" s="87"/>
    </row>
    <row r="29" spans="1:48" ht="18" customHeight="1">
      <c r="A29" s="74">
        <f t="shared" si="9"/>
        <v>45308</v>
      </c>
      <c r="B29" s="74"/>
      <c r="C29" s="76">
        <f t="shared" si="2"/>
        <v>45308</v>
      </c>
      <c r="D29" s="76"/>
      <c r="E29" s="77" t="s">
        <v>67</v>
      </c>
      <c r="F29" s="77"/>
      <c r="G29" s="77"/>
      <c r="H29" s="77"/>
      <c r="I29" s="78"/>
      <c r="J29" s="79"/>
      <c r="K29" s="80"/>
      <c r="L29" s="78"/>
      <c r="M29" s="79"/>
      <c r="N29" s="80"/>
      <c r="O29" s="91"/>
      <c r="P29" s="92"/>
      <c r="Q29" s="93"/>
      <c r="R29" s="91"/>
      <c r="S29" s="92"/>
      <c r="T29" s="93"/>
      <c r="U29" s="91"/>
      <c r="V29" s="92"/>
      <c r="W29" s="93"/>
      <c r="X29" s="43">
        <f t="shared" si="3"/>
        <v>0</v>
      </c>
      <c r="Y29" s="45"/>
      <c r="Z29" s="81">
        <f t="shared" si="4"/>
        <v>0</v>
      </c>
      <c r="AA29" s="81"/>
      <c r="AB29" s="82">
        <f t="shared" si="0"/>
        <v>0</v>
      </c>
      <c r="AC29" s="81"/>
      <c r="AD29" s="82">
        <f t="shared" si="1"/>
        <v>0</v>
      </c>
      <c r="AE29" s="81"/>
      <c r="AF29" s="82">
        <f t="shared" si="5"/>
        <v>0</v>
      </c>
      <c r="AG29" s="81"/>
      <c r="AH29" s="82">
        <f t="shared" si="6"/>
        <v>0</v>
      </c>
      <c r="AI29" s="81"/>
      <c r="AJ29" s="82">
        <f t="shared" si="10"/>
        <v>0</v>
      </c>
      <c r="AK29" s="81"/>
      <c r="AL29" s="83"/>
      <c r="AM29" s="84"/>
      <c r="AN29" s="82">
        <f t="shared" si="7"/>
        <v>0</v>
      </c>
      <c r="AO29" s="81"/>
      <c r="AP29" s="85"/>
      <c r="AQ29" s="86" t="str">
        <f t="shared" si="8"/>
        <v xml:space="preserve"> </v>
      </c>
      <c r="AR29" s="87"/>
      <c r="AS29" s="86" t="str">
        <f t="shared" si="11"/>
        <v xml:space="preserve"> </v>
      </c>
      <c r="AT29" s="87"/>
    </row>
    <row r="30" spans="1:48" ht="18" customHeight="1">
      <c r="A30" s="74">
        <f t="shared" si="9"/>
        <v>45309</v>
      </c>
      <c r="B30" s="74"/>
      <c r="C30" s="76">
        <f t="shared" si="2"/>
        <v>45309</v>
      </c>
      <c r="D30" s="76"/>
      <c r="E30" s="77" t="s">
        <v>67</v>
      </c>
      <c r="F30" s="77"/>
      <c r="G30" s="77"/>
      <c r="H30" s="77"/>
      <c r="I30" s="78"/>
      <c r="J30" s="79"/>
      <c r="K30" s="80"/>
      <c r="L30" s="78"/>
      <c r="M30" s="79"/>
      <c r="N30" s="80"/>
      <c r="O30" s="91"/>
      <c r="P30" s="92"/>
      <c r="Q30" s="93"/>
      <c r="R30" s="91"/>
      <c r="S30" s="92"/>
      <c r="T30" s="93"/>
      <c r="U30" s="91"/>
      <c r="V30" s="92"/>
      <c r="W30" s="93"/>
      <c r="X30" s="43">
        <f t="shared" si="3"/>
        <v>0</v>
      </c>
      <c r="Y30" s="45"/>
      <c r="Z30" s="81">
        <f t="shared" si="4"/>
        <v>0</v>
      </c>
      <c r="AA30" s="81"/>
      <c r="AB30" s="82">
        <f t="shared" si="0"/>
        <v>0</v>
      </c>
      <c r="AC30" s="81"/>
      <c r="AD30" s="82">
        <f t="shared" si="1"/>
        <v>0</v>
      </c>
      <c r="AE30" s="81"/>
      <c r="AF30" s="82">
        <f t="shared" si="5"/>
        <v>0</v>
      </c>
      <c r="AG30" s="81"/>
      <c r="AH30" s="82">
        <f t="shared" si="6"/>
        <v>0</v>
      </c>
      <c r="AI30" s="81"/>
      <c r="AJ30" s="82">
        <f t="shared" si="10"/>
        <v>0</v>
      </c>
      <c r="AK30" s="81"/>
      <c r="AL30" s="83"/>
      <c r="AM30" s="84"/>
      <c r="AN30" s="82">
        <f t="shared" si="7"/>
        <v>0</v>
      </c>
      <c r="AO30" s="81"/>
      <c r="AP30" s="85"/>
      <c r="AQ30" s="86" t="str">
        <f t="shared" si="8"/>
        <v xml:space="preserve"> </v>
      </c>
      <c r="AR30" s="87"/>
      <c r="AS30" s="86" t="str">
        <f t="shared" si="11"/>
        <v xml:space="preserve"> </v>
      </c>
      <c r="AT30" s="87"/>
    </row>
    <row r="31" spans="1:48" ht="18" customHeight="1">
      <c r="A31" s="74">
        <f t="shared" si="9"/>
        <v>45310</v>
      </c>
      <c r="B31" s="74"/>
      <c r="C31" s="76">
        <f t="shared" si="2"/>
        <v>45310</v>
      </c>
      <c r="D31" s="76"/>
      <c r="E31" s="77" t="s">
        <v>67</v>
      </c>
      <c r="F31" s="77"/>
      <c r="G31" s="77"/>
      <c r="H31" s="77"/>
      <c r="I31" s="78"/>
      <c r="J31" s="79"/>
      <c r="K31" s="80"/>
      <c r="L31" s="78"/>
      <c r="M31" s="79"/>
      <c r="N31" s="80"/>
      <c r="O31" s="91"/>
      <c r="P31" s="92"/>
      <c r="Q31" s="93"/>
      <c r="R31" s="91"/>
      <c r="S31" s="92"/>
      <c r="T31" s="93"/>
      <c r="U31" s="91"/>
      <c r="V31" s="92"/>
      <c r="W31" s="93"/>
      <c r="X31" s="43">
        <f t="shared" si="3"/>
        <v>0</v>
      </c>
      <c r="Y31" s="45"/>
      <c r="Z31" s="81">
        <f t="shared" si="4"/>
        <v>0</v>
      </c>
      <c r="AA31" s="81"/>
      <c r="AB31" s="82">
        <f t="shared" si="0"/>
        <v>0</v>
      </c>
      <c r="AC31" s="81"/>
      <c r="AD31" s="82">
        <f t="shared" si="1"/>
        <v>0</v>
      </c>
      <c r="AE31" s="81"/>
      <c r="AF31" s="82">
        <f t="shared" si="5"/>
        <v>0</v>
      </c>
      <c r="AG31" s="81"/>
      <c r="AH31" s="82">
        <f t="shared" si="6"/>
        <v>0</v>
      </c>
      <c r="AI31" s="81"/>
      <c r="AJ31" s="82">
        <f t="shared" si="10"/>
        <v>0</v>
      </c>
      <c r="AK31" s="81"/>
      <c r="AL31" s="83"/>
      <c r="AM31" s="84"/>
      <c r="AN31" s="82">
        <f t="shared" si="7"/>
        <v>0</v>
      </c>
      <c r="AO31" s="81"/>
      <c r="AP31" s="85"/>
      <c r="AQ31" s="86" t="str">
        <f t="shared" si="8"/>
        <v xml:space="preserve"> </v>
      </c>
      <c r="AR31" s="87"/>
      <c r="AS31" s="86" t="str">
        <f t="shared" si="11"/>
        <v xml:space="preserve"> </v>
      </c>
      <c r="AT31" s="87"/>
    </row>
    <row r="32" spans="1:48" ht="18" customHeight="1">
      <c r="A32" s="74">
        <f t="shared" si="9"/>
        <v>45311</v>
      </c>
      <c r="B32" s="74"/>
      <c r="C32" s="76">
        <f t="shared" si="2"/>
        <v>45311</v>
      </c>
      <c r="D32" s="76"/>
      <c r="E32" s="77" t="s">
        <v>68</v>
      </c>
      <c r="F32" s="77"/>
      <c r="G32" s="77"/>
      <c r="H32" s="77"/>
      <c r="I32" s="78"/>
      <c r="J32" s="79"/>
      <c r="K32" s="80"/>
      <c r="L32" s="78"/>
      <c r="M32" s="79"/>
      <c r="N32" s="80"/>
      <c r="O32" s="91"/>
      <c r="P32" s="92"/>
      <c r="Q32" s="93"/>
      <c r="R32" s="91"/>
      <c r="S32" s="92"/>
      <c r="T32" s="93"/>
      <c r="U32" s="91"/>
      <c r="V32" s="92"/>
      <c r="W32" s="93"/>
      <c r="X32" s="43">
        <f t="shared" si="3"/>
        <v>0</v>
      </c>
      <c r="Y32" s="45"/>
      <c r="Z32" s="81">
        <f t="shared" si="4"/>
        <v>0</v>
      </c>
      <c r="AA32" s="81"/>
      <c r="AB32" s="82">
        <f t="shared" si="0"/>
        <v>0</v>
      </c>
      <c r="AC32" s="81"/>
      <c r="AD32" s="82">
        <f t="shared" si="1"/>
        <v>0</v>
      </c>
      <c r="AE32" s="81"/>
      <c r="AF32" s="82">
        <f t="shared" si="5"/>
        <v>0</v>
      </c>
      <c r="AG32" s="81"/>
      <c r="AH32" s="82">
        <f t="shared" si="6"/>
        <v>0</v>
      </c>
      <c r="AI32" s="81"/>
      <c r="AJ32" s="82">
        <f t="shared" si="10"/>
        <v>0</v>
      </c>
      <c r="AK32" s="81"/>
      <c r="AL32" s="83"/>
      <c r="AM32" s="84"/>
      <c r="AN32" s="82">
        <f t="shared" si="7"/>
        <v>0</v>
      </c>
      <c r="AO32" s="81"/>
      <c r="AP32" s="85"/>
      <c r="AQ32" s="86" t="str">
        <f t="shared" si="8"/>
        <v xml:space="preserve"> </v>
      </c>
      <c r="AR32" s="87"/>
      <c r="AS32" s="86" t="str">
        <f t="shared" si="11"/>
        <v xml:space="preserve"> </v>
      </c>
      <c r="AT32" s="87"/>
    </row>
    <row r="33" spans="1:46" ht="18" customHeight="1">
      <c r="A33" s="74">
        <f t="shared" si="9"/>
        <v>45312</v>
      </c>
      <c r="B33" s="74"/>
      <c r="C33" s="76">
        <f t="shared" si="2"/>
        <v>45312</v>
      </c>
      <c r="D33" s="76"/>
      <c r="E33" s="77" t="s">
        <v>68</v>
      </c>
      <c r="F33" s="77"/>
      <c r="G33" s="77"/>
      <c r="H33" s="77"/>
      <c r="I33" s="78"/>
      <c r="J33" s="79"/>
      <c r="K33" s="80"/>
      <c r="L33" s="78"/>
      <c r="M33" s="79"/>
      <c r="N33" s="80"/>
      <c r="O33" s="91"/>
      <c r="P33" s="92"/>
      <c r="Q33" s="93"/>
      <c r="R33" s="91"/>
      <c r="S33" s="92"/>
      <c r="T33" s="93"/>
      <c r="U33" s="91"/>
      <c r="V33" s="92"/>
      <c r="W33" s="93"/>
      <c r="X33" s="43">
        <f t="shared" si="3"/>
        <v>0</v>
      </c>
      <c r="Y33" s="45"/>
      <c r="Z33" s="81">
        <f t="shared" si="4"/>
        <v>0</v>
      </c>
      <c r="AA33" s="81"/>
      <c r="AB33" s="82">
        <f t="shared" si="0"/>
        <v>0</v>
      </c>
      <c r="AC33" s="81"/>
      <c r="AD33" s="82">
        <f t="shared" si="1"/>
        <v>0</v>
      </c>
      <c r="AE33" s="81"/>
      <c r="AF33" s="82">
        <f t="shared" si="5"/>
        <v>0</v>
      </c>
      <c r="AG33" s="81"/>
      <c r="AH33" s="82">
        <f t="shared" si="6"/>
        <v>0</v>
      </c>
      <c r="AI33" s="81"/>
      <c r="AJ33" s="82">
        <f t="shared" si="10"/>
        <v>0</v>
      </c>
      <c r="AK33" s="81"/>
      <c r="AL33" s="83"/>
      <c r="AM33" s="84"/>
      <c r="AN33" s="82">
        <f t="shared" si="7"/>
        <v>0</v>
      </c>
      <c r="AO33" s="81"/>
      <c r="AP33" s="85"/>
      <c r="AQ33" s="86" t="str">
        <f t="shared" si="8"/>
        <v xml:space="preserve"> </v>
      </c>
      <c r="AR33" s="87"/>
      <c r="AS33" s="86" t="str">
        <f t="shared" si="11"/>
        <v xml:space="preserve"> </v>
      </c>
      <c r="AT33" s="87"/>
    </row>
    <row r="34" spans="1:46" ht="18" customHeight="1">
      <c r="A34" s="74">
        <f t="shared" si="9"/>
        <v>45313</v>
      </c>
      <c r="B34" s="74"/>
      <c r="C34" s="76">
        <f t="shared" si="2"/>
        <v>45313</v>
      </c>
      <c r="D34" s="76"/>
      <c r="E34" s="77" t="s">
        <v>67</v>
      </c>
      <c r="F34" s="77"/>
      <c r="G34" s="77"/>
      <c r="H34" s="77"/>
      <c r="I34" s="78"/>
      <c r="J34" s="79"/>
      <c r="K34" s="80"/>
      <c r="L34" s="78"/>
      <c r="M34" s="79"/>
      <c r="N34" s="80"/>
      <c r="O34" s="91"/>
      <c r="P34" s="92"/>
      <c r="Q34" s="93"/>
      <c r="R34" s="91"/>
      <c r="S34" s="92"/>
      <c r="T34" s="93"/>
      <c r="U34" s="91"/>
      <c r="V34" s="92"/>
      <c r="W34" s="93"/>
      <c r="X34" s="43">
        <f t="shared" si="3"/>
        <v>0</v>
      </c>
      <c r="Y34" s="45"/>
      <c r="Z34" s="81">
        <f t="shared" si="4"/>
        <v>0</v>
      </c>
      <c r="AA34" s="81"/>
      <c r="AB34" s="82">
        <f t="shared" si="0"/>
        <v>0</v>
      </c>
      <c r="AC34" s="81"/>
      <c r="AD34" s="82">
        <f t="shared" si="1"/>
        <v>0</v>
      </c>
      <c r="AE34" s="81"/>
      <c r="AF34" s="82">
        <f t="shared" si="5"/>
        <v>0</v>
      </c>
      <c r="AG34" s="81"/>
      <c r="AH34" s="82">
        <f t="shared" si="6"/>
        <v>0</v>
      </c>
      <c r="AI34" s="81"/>
      <c r="AJ34" s="82">
        <f t="shared" si="10"/>
        <v>0</v>
      </c>
      <c r="AK34" s="81"/>
      <c r="AL34" s="83"/>
      <c r="AM34" s="84"/>
      <c r="AN34" s="82">
        <f t="shared" si="7"/>
        <v>0</v>
      </c>
      <c r="AO34" s="81"/>
      <c r="AP34" s="85"/>
      <c r="AQ34" s="86" t="str">
        <f t="shared" si="8"/>
        <v xml:space="preserve"> </v>
      </c>
      <c r="AR34" s="87"/>
      <c r="AS34" s="86" t="str">
        <f t="shared" si="11"/>
        <v xml:space="preserve"> </v>
      </c>
      <c r="AT34" s="87"/>
    </row>
    <row r="35" spans="1:46" ht="18" customHeight="1">
      <c r="A35" s="74">
        <f t="shared" si="9"/>
        <v>45314</v>
      </c>
      <c r="B35" s="74"/>
      <c r="C35" s="76">
        <f t="shared" si="2"/>
        <v>45314</v>
      </c>
      <c r="D35" s="76"/>
      <c r="E35" s="77" t="s">
        <v>67</v>
      </c>
      <c r="F35" s="77"/>
      <c r="G35" s="77"/>
      <c r="H35" s="77"/>
      <c r="I35" s="78"/>
      <c r="J35" s="79"/>
      <c r="K35" s="80"/>
      <c r="L35" s="78"/>
      <c r="M35" s="79"/>
      <c r="N35" s="80"/>
      <c r="O35" s="91"/>
      <c r="P35" s="92"/>
      <c r="Q35" s="93"/>
      <c r="R35" s="91"/>
      <c r="S35" s="92"/>
      <c r="T35" s="93"/>
      <c r="U35" s="91"/>
      <c r="V35" s="92"/>
      <c r="W35" s="93"/>
      <c r="X35" s="43">
        <f t="shared" si="3"/>
        <v>0</v>
      </c>
      <c r="Y35" s="45"/>
      <c r="Z35" s="81">
        <f t="shared" si="4"/>
        <v>0</v>
      </c>
      <c r="AA35" s="81"/>
      <c r="AB35" s="82">
        <f t="shared" si="0"/>
        <v>0</v>
      </c>
      <c r="AC35" s="81"/>
      <c r="AD35" s="82">
        <f t="shared" si="1"/>
        <v>0</v>
      </c>
      <c r="AE35" s="81"/>
      <c r="AF35" s="82">
        <f t="shared" si="5"/>
        <v>0</v>
      </c>
      <c r="AG35" s="81"/>
      <c r="AH35" s="82">
        <f t="shared" si="6"/>
        <v>0</v>
      </c>
      <c r="AI35" s="81"/>
      <c r="AJ35" s="82">
        <f t="shared" si="10"/>
        <v>0</v>
      </c>
      <c r="AK35" s="81"/>
      <c r="AL35" s="83"/>
      <c r="AM35" s="84"/>
      <c r="AN35" s="82">
        <f t="shared" si="7"/>
        <v>0</v>
      </c>
      <c r="AO35" s="81"/>
      <c r="AP35" s="85"/>
      <c r="AQ35" s="86" t="str">
        <f t="shared" si="8"/>
        <v xml:space="preserve"> </v>
      </c>
      <c r="AR35" s="87"/>
      <c r="AS35" s="86" t="str">
        <f t="shared" si="11"/>
        <v xml:space="preserve"> </v>
      </c>
      <c r="AT35" s="87"/>
    </row>
    <row r="36" spans="1:46" ht="18" customHeight="1">
      <c r="A36" s="74">
        <f t="shared" si="9"/>
        <v>45315</v>
      </c>
      <c r="B36" s="74"/>
      <c r="C36" s="76">
        <f t="shared" si="2"/>
        <v>45315</v>
      </c>
      <c r="D36" s="76"/>
      <c r="E36" s="77" t="s">
        <v>67</v>
      </c>
      <c r="F36" s="77"/>
      <c r="G36" s="77"/>
      <c r="H36" s="77"/>
      <c r="I36" s="78"/>
      <c r="J36" s="79"/>
      <c r="K36" s="80"/>
      <c r="L36" s="78"/>
      <c r="M36" s="79"/>
      <c r="N36" s="80"/>
      <c r="O36" s="91"/>
      <c r="P36" s="92"/>
      <c r="Q36" s="93"/>
      <c r="R36" s="91"/>
      <c r="S36" s="92"/>
      <c r="T36" s="93"/>
      <c r="U36" s="91"/>
      <c r="V36" s="92"/>
      <c r="W36" s="93"/>
      <c r="X36" s="43">
        <f t="shared" si="3"/>
        <v>0</v>
      </c>
      <c r="Y36" s="45"/>
      <c r="Z36" s="81">
        <f t="shared" si="4"/>
        <v>0</v>
      </c>
      <c r="AA36" s="81"/>
      <c r="AB36" s="82">
        <f t="shared" si="0"/>
        <v>0</v>
      </c>
      <c r="AC36" s="81"/>
      <c r="AD36" s="82">
        <f t="shared" si="1"/>
        <v>0</v>
      </c>
      <c r="AE36" s="81"/>
      <c r="AF36" s="82">
        <f t="shared" si="5"/>
        <v>0</v>
      </c>
      <c r="AG36" s="81"/>
      <c r="AH36" s="82">
        <f t="shared" si="6"/>
        <v>0</v>
      </c>
      <c r="AI36" s="81"/>
      <c r="AJ36" s="82">
        <f t="shared" si="10"/>
        <v>0</v>
      </c>
      <c r="AK36" s="81"/>
      <c r="AL36" s="83"/>
      <c r="AM36" s="84"/>
      <c r="AN36" s="82">
        <f t="shared" si="7"/>
        <v>0</v>
      </c>
      <c r="AO36" s="81"/>
      <c r="AP36" s="85"/>
      <c r="AQ36" s="86" t="str">
        <f t="shared" si="8"/>
        <v xml:space="preserve"> </v>
      </c>
      <c r="AR36" s="87"/>
      <c r="AS36" s="86" t="str">
        <f t="shared" si="11"/>
        <v xml:space="preserve"> </v>
      </c>
      <c r="AT36" s="87"/>
    </row>
    <row r="37" spans="1:46" ht="18" customHeight="1">
      <c r="A37" s="74">
        <f>A36+1</f>
        <v>45316</v>
      </c>
      <c r="B37" s="74"/>
      <c r="C37" s="76">
        <f t="shared" si="2"/>
        <v>45316</v>
      </c>
      <c r="D37" s="76"/>
      <c r="E37" s="77" t="s">
        <v>67</v>
      </c>
      <c r="F37" s="77"/>
      <c r="G37" s="77"/>
      <c r="H37" s="77"/>
      <c r="I37" s="78"/>
      <c r="J37" s="79"/>
      <c r="K37" s="80"/>
      <c r="L37" s="78"/>
      <c r="M37" s="79"/>
      <c r="N37" s="80"/>
      <c r="O37" s="91"/>
      <c r="P37" s="92"/>
      <c r="Q37" s="93"/>
      <c r="R37" s="91"/>
      <c r="S37" s="92"/>
      <c r="T37" s="93"/>
      <c r="U37" s="91"/>
      <c r="V37" s="92"/>
      <c r="W37" s="93"/>
      <c r="X37" s="43">
        <f t="shared" si="3"/>
        <v>0</v>
      </c>
      <c r="Y37" s="45"/>
      <c r="Z37" s="81">
        <f t="shared" si="4"/>
        <v>0</v>
      </c>
      <c r="AA37" s="81"/>
      <c r="AB37" s="82">
        <f t="shared" si="0"/>
        <v>0</v>
      </c>
      <c r="AC37" s="81"/>
      <c r="AD37" s="82">
        <f t="shared" si="1"/>
        <v>0</v>
      </c>
      <c r="AE37" s="81"/>
      <c r="AF37" s="82">
        <f t="shared" si="5"/>
        <v>0</v>
      </c>
      <c r="AG37" s="81"/>
      <c r="AH37" s="82">
        <f t="shared" si="6"/>
        <v>0</v>
      </c>
      <c r="AI37" s="81"/>
      <c r="AJ37" s="82">
        <f t="shared" si="10"/>
        <v>0</v>
      </c>
      <c r="AK37" s="81"/>
      <c r="AL37" s="83"/>
      <c r="AM37" s="84"/>
      <c r="AN37" s="82">
        <f t="shared" si="7"/>
        <v>0</v>
      </c>
      <c r="AO37" s="81"/>
      <c r="AP37" s="85"/>
      <c r="AQ37" s="86" t="str">
        <f t="shared" si="8"/>
        <v xml:space="preserve"> </v>
      </c>
      <c r="AR37" s="87"/>
      <c r="AS37" s="86" t="str">
        <f t="shared" si="11"/>
        <v xml:space="preserve"> </v>
      </c>
      <c r="AT37" s="87"/>
    </row>
    <row r="38" spans="1:46" ht="18" customHeight="1">
      <c r="A38" s="74">
        <f>A37+1</f>
        <v>45317</v>
      </c>
      <c r="B38" s="74"/>
      <c r="C38" s="76">
        <f t="shared" si="2"/>
        <v>45317</v>
      </c>
      <c r="D38" s="76"/>
      <c r="E38" s="77" t="s">
        <v>67</v>
      </c>
      <c r="F38" s="77"/>
      <c r="G38" s="77"/>
      <c r="H38" s="77"/>
      <c r="I38" s="78"/>
      <c r="J38" s="79"/>
      <c r="K38" s="80"/>
      <c r="L38" s="78"/>
      <c r="M38" s="79"/>
      <c r="N38" s="80"/>
      <c r="O38" s="91"/>
      <c r="P38" s="92"/>
      <c r="Q38" s="93"/>
      <c r="R38" s="91"/>
      <c r="S38" s="92"/>
      <c r="T38" s="93"/>
      <c r="U38" s="91"/>
      <c r="V38" s="92"/>
      <c r="W38" s="93"/>
      <c r="X38" s="43">
        <f t="shared" si="3"/>
        <v>0</v>
      </c>
      <c r="Y38" s="45"/>
      <c r="Z38" s="81">
        <f t="shared" si="4"/>
        <v>0</v>
      </c>
      <c r="AA38" s="81"/>
      <c r="AB38" s="82">
        <f t="shared" si="0"/>
        <v>0</v>
      </c>
      <c r="AC38" s="81"/>
      <c r="AD38" s="82">
        <f t="shared" si="1"/>
        <v>0</v>
      </c>
      <c r="AE38" s="81"/>
      <c r="AF38" s="82">
        <f t="shared" si="5"/>
        <v>0</v>
      </c>
      <c r="AG38" s="81"/>
      <c r="AH38" s="82">
        <f t="shared" si="6"/>
        <v>0</v>
      </c>
      <c r="AI38" s="81"/>
      <c r="AJ38" s="82">
        <f t="shared" si="10"/>
        <v>0</v>
      </c>
      <c r="AK38" s="81"/>
      <c r="AL38" s="83"/>
      <c r="AM38" s="84"/>
      <c r="AN38" s="82">
        <f t="shared" si="7"/>
        <v>0</v>
      </c>
      <c r="AO38" s="81"/>
      <c r="AP38" s="85"/>
      <c r="AQ38" s="86" t="str">
        <f t="shared" si="8"/>
        <v xml:space="preserve"> </v>
      </c>
      <c r="AR38" s="87"/>
      <c r="AS38" s="86" t="str">
        <f t="shared" si="11"/>
        <v xml:space="preserve"> </v>
      </c>
      <c r="AT38" s="87"/>
    </row>
    <row r="39" spans="1:46" ht="18" customHeight="1">
      <c r="A39" s="74">
        <f>A38+1</f>
        <v>45318</v>
      </c>
      <c r="B39" s="74"/>
      <c r="C39" s="76">
        <f t="shared" si="2"/>
        <v>45318</v>
      </c>
      <c r="D39" s="76"/>
      <c r="E39" s="77" t="s">
        <v>68</v>
      </c>
      <c r="F39" s="77"/>
      <c r="G39" s="77"/>
      <c r="H39" s="77"/>
      <c r="I39" s="78"/>
      <c r="J39" s="79"/>
      <c r="K39" s="80"/>
      <c r="L39" s="78"/>
      <c r="M39" s="79"/>
      <c r="N39" s="80"/>
      <c r="O39" s="91"/>
      <c r="P39" s="92"/>
      <c r="Q39" s="93"/>
      <c r="R39" s="91"/>
      <c r="S39" s="92"/>
      <c r="T39" s="93"/>
      <c r="U39" s="91"/>
      <c r="V39" s="92"/>
      <c r="W39" s="93"/>
      <c r="X39" s="43">
        <f t="shared" si="3"/>
        <v>0</v>
      </c>
      <c r="Y39" s="45"/>
      <c r="Z39" s="81">
        <f t="shared" si="4"/>
        <v>0</v>
      </c>
      <c r="AA39" s="81"/>
      <c r="AB39" s="82">
        <f t="shared" si="0"/>
        <v>0</v>
      </c>
      <c r="AC39" s="81"/>
      <c r="AD39" s="82">
        <f t="shared" si="1"/>
        <v>0</v>
      </c>
      <c r="AE39" s="81"/>
      <c r="AF39" s="82">
        <f t="shared" si="5"/>
        <v>0</v>
      </c>
      <c r="AG39" s="81"/>
      <c r="AH39" s="82">
        <f t="shared" si="6"/>
        <v>0</v>
      </c>
      <c r="AI39" s="81"/>
      <c r="AJ39" s="82">
        <f t="shared" si="10"/>
        <v>0</v>
      </c>
      <c r="AK39" s="81"/>
      <c r="AL39" s="83"/>
      <c r="AM39" s="84"/>
      <c r="AN39" s="82">
        <f>IF(E39="振休",0,(IF(E39="欠勤",0,(X39+Z39+AB39-AF39-AH39-AL39))))</f>
        <v>0</v>
      </c>
      <c r="AO39" s="81"/>
      <c r="AP39" s="85"/>
      <c r="AQ39" s="86" t="str">
        <f t="shared" si="8"/>
        <v xml:space="preserve"> </v>
      </c>
      <c r="AR39" s="87"/>
      <c r="AS39" s="86" t="str">
        <f t="shared" si="11"/>
        <v xml:space="preserve"> </v>
      </c>
      <c r="AT39" s="87"/>
    </row>
    <row r="40" spans="1:46" ht="18" customHeight="1">
      <c r="A40" s="74">
        <f>A39+1</f>
        <v>45319</v>
      </c>
      <c r="B40" s="74"/>
      <c r="C40" s="76">
        <f t="shared" si="2"/>
        <v>45319</v>
      </c>
      <c r="D40" s="76"/>
      <c r="E40" s="77" t="s">
        <v>68</v>
      </c>
      <c r="F40" s="77"/>
      <c r="G40" s="77"/>
      <c r="H40" s="77"/>
      <c r="I40" s="78"/>
      <c r="J40" s="79"/>
      <c r="K40" s="80"/>
      <c r="L40" s="78"/>
      <c r="M40" s="79"/>
      <c r="N40" s="80"/>
      <c r="O40" s="91"/>
      <c r="P40" s="92"/>
      <c r="Q40" s="93"/>
      <c r="R40" s="91"/>
      <c r="S40" s="92"/>
      <c r="T40" s="93"/>
      <c r="U40" s="91"/>
      <c r="V40" s="92"/>
      <c r="W40" s="93"/>
      <c r="X40" s="43">
        <f t="shared" si="3"/>
        <v>0</v>
      </c>
      <c r="Y40" s="45"/>
      <c r="Z40" s="81">
        <f t="shared" si="4"/>
        <v>0</v>
      </c>
      <c r="AA40" s="81"/>
      <c r="AB40" s="82">
        <f t="shared" si="0"/>
        <v>0</v>
      </c>
      <c r="AC40" s="81"/>
      <c r="AD40" s="82">
        <f t="shared" si="1"/>
        <v>0</v>
      </c>
      <c r="AE40" s="81"/>
      <c r="AF40" s="82">
        <f t="shared" si="5"/>
        <v>0</v>
      </c>
      <c r="AG40" s="81"/>
      <c r="AH40" s="82">
        <f t="shared" si="6"/>
        <v>0</v>
      </c>
      <c r="AI40" s="81"/>
      <c r="AJ40" s="82">
        <f t="shared" si="10"/>
        <v>0</v>
      </c>
      <c r="AK40" s="81"/>
      <c r="AL40" s="83"/>
      <c r="AM40" s="84"/>
      <c r="AN40" s="82">
        <f t="shared" si="7"/>
        <v>0</v>
      </c>
      <c r="AO40" s="81"/>
      <c r="AP40" s="85"/>
      <c r="AQ40" s="86" t="str">
        <f t="shared" si="8"/>
        <v xml:space="preserve"> </v>
      </c>
      <c r="AR40" s="87"/>
      <c r="AS40" s="86" t="str">
        <f t="shared" si="11"/>
        <v xml:space="preserve"> </v>
      </c>
      <c r="AT40" s="87"/>
    </row>
    <row r="41" spans="1:46" ht="18" customHeight="1">
      <c r="A41" s="74">
        <f t="shared" ref="A41:A43" si="12">A40+1</f>
        <v>45320</v>
      </c>
      <c r="B41" s="74"/>
      <c r="C41" s="76">
        <f t="shared" si="2"/>
        <v>45320</v>
      </c>
      <c r="D41" s="76"/>
      <c r="E41" s="77" t="s">
        <v>67</v>
      </c>
      <c r="F41" s="77"/>
      <c r="G41" s="77"/>
      <c r="H41" s="77"/>
      <c r="I41" s="78"/>
      <c r="J41" s="79"/>
      <c r="K41" s="80"/>
      <c r="L41" s="78"/>
      <c r="M41" s="79"/>
      <c r="N41" s="80"/>
      <c r="O41" s="91"/>
      <c r="P41" s="92"/>
      <c r="Q41" s="93"/>
      <c r="R41" s="91"/>
      <c r="S41" s="92"/>
      <c r="T41" s="93"/>
      <c r="U41" s="91"/>
      <c r="V41" s="92"/>
      <c r="W41" s="93"/>
      <c r="X41" s="43">
        <f t="shared" si="3"/>
        <v>0</v>
      </c>
      <c r="Y41" s="45"/>
      <c r="Z41" s="81">
        <f t="shared" si="4"/>
        <v>0</v>
      </c>
      <c r="AA41" s="81"/>
      <c r="AB41" s="82">
        <f t="shared" si="0"/>
        <v>0</v>
      </c>
      <c r="AC41" s="81"/>
      <c r="AD41" s="82">
        <f t="shared" si="1"/>
        <v>0</v>
      </c>
      <c r="AE41" s="81"/>
      <c r="AF41" s="82">
        <f t="shared" si="5"/>
        <v>0</v>
      </c>
      <c r="AG41" s="81"/>
      <c r="AH41" s="82">
        <f t="shared" si="6"/>
        <v>0</v>
      </c>
      <c r="AI41" s="81"/>
      <c r="AJ41" s="82">
        <f t="shared" si="10"/>
        <v>0</v>
      </c>
      <c r="AK41" s="81"/>
      <c r="AL41" s="83"/>
      <c r="AM41" s="84"/>
      <c r="AN41" s="82">
        <f t="shared" si="7"/>
        <v>0</v>
      </c>
      <c r="AO41" s="81"/>
      <c r="AP41" s="85"/>
      <c r="AQ41" s="86" t="str">
        <f t="shared" si="8"/>
        <v xml:space="preserve"> </v>
      </c>
      <c r="AR41" s="87"/>
      <c r="AS41" s="86" t="str">
        <f t="shared" si="11"/>
        <v xml:space="preserve"> </v>
      </c>
      <c r="AT41" s="87"/>
    </row>
    <row r="42" spans="1:46" ht="18" customHeight="1">
      <c r="A42" s="74">
        <f t="shared" si="12"/>
        <v>45321</v>
      </c>
      <c r="B42" s="74"/>
      <c r="C42" s="76">
        <f t="shared" si="2"/>
        <v>45321</v>
      </c>
      <c r="D42" s="76"/>
      <c r="E42" s="77" t="s">
        <v>67</v>
      </c>
      <c r="F42" s="77"/>
      <c r="G42" s="77"/>
      <c r="H42" s="77"/>
      <c r="I42" s="78"/>
      <c r="J42" s="79"/>
      <c r="K42" s="80"/>
      <c r="L42" s="78"/>
      <c r="M42" s="79"/>
      <c r="N42" s="80"/>
      <c r="O42" s="91"/>
      <c r="P42" s="92"/>
      <c r="Q42" s="93"/>
      <c r="R42" s="91"/>
      <c r="S42" s="92"/>
      <c r="T42" s="93"/>
      <c r="U42" s="91"/>
      <c r="V42" s="92"/>
      <c r="W42" s="93"/>
      <c r="X42" s="43">
        <f t="shared" si="3"/>
        <v>0</v>
      </c>
      <c r="Y42" s="45"/>
      <c r="Z42" s="81">
        <f t="shared" si="4"/>
        <v>0</v>
      </c>
      <c r="AA42" s="81"/>
      <c r="AB42" s="82">
        <f t="shared" si="0"/>
        <v>0</v>
      </c>
      <c r="AC42" s="81"/>
      <c r="AD42" s="82">
        <f t="shared" si="1"/>
        <v>0</v>
      </c>
      <c r="AE42" s="81"/>
      <c r="AF42" s="82">
        <f t="shared" si="5"/>
        <v>0</v>
      </c>
      <c r="AG42" s="81"/>
      <c r="AH42" s="82">
        <f t="shared" si="6"/>
        <v>0</v>
      </c>
      <c r="AI42" s="81"/>
      <c r="AJ42" s="82">
        <f t="shared" si="10"/>
        <v>0</v>
      </c>
      <c r="AK42" s="81"/>
      <c r="AL42" s="83"/>
      <c r="AM42" s="84"/>
      <c r="AN42" s="82">
        <f t="shared" si="7"/>
        <v>0</v>
      </c>
      <c r="AO42" s="81"/>
      <c r="AP42" s="85"/>
      <c r="AQ42" s="86" t="str">
        <f t="shared" si="8"/>
        <v xml:space="preserve"> </v>
      </c>
      <c r="AR42" s="87"/>
      <c r="AS42" s="86" t="str">
        <f t="shared" si="11"/>
        <v xml:space="preserve"> </v>
      </c>
      <c r="AT42" s="87"/>
    </row>
    <row r="43" spans="1:46" ht="18" customHeight="1">
      <c r="A43" s="74">
        <f t="shared" si="12"/>
        <v>45322</v>
      </c>
      <c r="B43" s="74"/>
      <c r="C43" s="75">
        <f>A43</f>
        <v>45322</v>
      </c>
      <c r="D43" s="76"/>
      <c r="E43" s="77" t="s">
        <v>67</v>
      </c>
      <c r="F43" s="77"/>
      <c r="G43" s="77"/>
      <c r="H43" s="77"/>
      <c r="I43" s="78"/>
      <c r="J43" s="79"/>
      <c r="K43" s="80"/>
      <c r="L43" s="78"/>
      <c r="M43" s="79"/>
      <c r="N43" s="80"/>
      <c r="O43" s="91"/>
      <c r="P43" s="92"/>
      <c r="Q43" s="93"/>
      <c r="R43" s="91"/>
      <c r="S43" s="92"/>
      <c r="T43" s="93"/>
      <c r="U43" s="91"/>
      <c r="V43" s="92"/>
      <c r="W43" s="93"/>
      <c r="X43" s="43">
        <f t="shared" si="3"/>
        <v>0</v>
      </c>
      <c r="Y43" s="45"/>
      <c r="Z43" s="81">
        <f t="shared" si="4"/>
        <v>0</v>
      </c>
      <c r="AA43" s="81"/>
      <c r="AB43" s="82">
        <f t="shared" si="0"/>
        <v>0</v>
      </c>
      <c r="AC43" s="81"/>
      <c r="AD43" s="82">
        <f t="shared" si="1"/>
        <v>0</v>
      </c>
      <c r="AE43" s="81"/>
      <c r="AF43" s="82">
        <f t="shared" si="5"/>
        <v>0</v>
      </c>
      <c r="AG43" s="81"/>
      <c r="AH43" s="82">
        <f t="shared" si="6"/>
        <v>0</v>
      </c>
      <c r="AI43" s="81"/>
      <c r="AJ43" s="82">
        <f t="shared" si="10"/>
        <v>0</v>
      </c>
      <c r="AK43" s="81"/>
      <c r="AL43" s="83"/>
      <c r="AM43" s="84"/>
      <c r="AN43" s="82">
        <f t="shared" si="7"/>
        <v>0</v>
      </c>
      <c r="AO43" s="81"/>
      <c r="AP43" s="85"/>
      <c r="AQ43" s="86" t="str">
        <f t="shared" si="8"/>
        <v xml:space="preserve"> </v>
      </c>
      <c r="AR43" s="87"/>
      <c r="AS43" s="86" t="str">
        <f t="shared" si="11"/>
        <v xml:space="preserve"> </v>
      </c>
      <c r="AT43" s="87"/>
    </row>
    <row r="44" spans="1:46" ht="18" customHeight="1">
      <c r="AO44" s="90"/>
      <c r="AP44" s="90"/>
    </row>
    <row r="45" spans="1:46" ht="18" customHeight="1">
      <c r="AO45" s="90"/>
      <c r="AP45" s="90"/>
    </row>
    <row r="46" spans="1:46" ht="18" customHeight="1">
      <c r="AO46" s="90"/>
      <c r="AP46" s="90"/>
    </row>
    <row r="47" spans="1:46" ht="18" customHeight="1">
      <c r="AO47" s="90"/>
      <c r="AP47" s="90"/>
    </row>
    <row r="48" spans="1:46" ht="18" customHeight="1">
      <c r="AO48" s="90"/>
      <c r="AP48" s="90"/>
    </row>
    <row r="49" spans="41:42" ht="18" customHeight="1">
      <c r="AO49" s="90"/>
      <c r="AP49" s="90"/>
    </row>
    <row r="50" spans="41:42" ht="18" customHeight="1">
      <c r="AO50" s="90"/>
      <c r="AP50" s="90"/>
    </row>
    <row r="51" spans="41:42" ht="18" customHeight="1">
      <c r="AO51" s="90"/>
      <c r="AP51" s="90"/>
    </row>
    <row r="52" spans="41:42" ht="18" customHeight="1">
      <c r="AO52" s="90"/>
      <c r="AP52" s="90"/>
    </row>
    <row r="53" spans="41:42" ht="18" customHeight="1">
      <c r="AO53" s="90"/>
      <c r="AP53" s="90"/>
    </row>
    <row r="54" spans="41:42" ht="18" customHeight="1">
      <c r="AO54" s="90"/>
      <c r="AP54" s="90"/>
    </row>
    <row r="55" spans="41:42" ht="18" customHeight="1">
      <c r="AO55" s="90"/>
      <c r="AP55" s="90"/>
    </row>
    <row r="56" spans="41:42" ht="18" customHeight="1">
      <c r="AO56" s="90"/>
      <c r="AP56" s="90"/>
    </row>
    <row r="57" spans="41:42" ht="18" customHeight="1">
      <c r="AO57" s="90"/>
      <c r="AP57" s="90"/>
    </row>
    <row r="58" spans="41:42" ht="18" customHeight="1">
      <c r="AO58" s="90"/>
      <c r="AP58" s="90"/>
    </row>
    <row r="59" spans="41:42" ht="18" customHeight="1">
      <c r="AO59" s="90"/>
      <c r="AP59" s="90"/>
    </row>
    <row r="60" spans="41:42" ht="18" customHeight="1">
      <c r="AO60" s="90"/>
      <c r="AP60" s="90"/>
    </row>
    <row r="61" spans="41:42" ht="18" customHeight="1">
      <c r="AO61" s="90"/>
      <c r="AP61" s="90"/>
    </row>
    <row r="62" spans="41:42" ht="18" customHeight="1">
      <c r="AO62" s="90"/>
      <c r="AP62" s="90"/>
    </row>
    <row r="63" spans="41:42" ht="18" customHeight="1">
      <c r="AO63" s="90"/>
      <c r="AP63" s="90"/>
    </row>
    <row r="64" spans="41:42" ht="18" customHeight="1">
      <c r="AO64" s="90"/>
      <c r="AP64" s="90"/>
    </row>
    <row r="65" spans="41:42" ht="18" customHeight="1">
      <c r="AO65" s="90"/>
      <c r="AP65" s="90"/>
    </row>
    <row r="66" spans="41:42" ht="18" customHeight="1">
      <c r="AO66" s="90"/>
      <c r="AP66" s="90"/>
    </row>
    <row r="67" spans="41:42" ht="18" customHeight="1">
      <c r="AO67" s="90"/>
      <c r="AP67" s="90"/>
    </row>
    <row r="68" spans="41:42" ht="18" customHeight="1">
      <c r="AO68" s="90"/>
      <c r="AP68" s="90"/>
    </row>
    <row r="69" spans="41:42" ht="18" customHeight="1">
      <c r="AO69" s="90"/>
      <c r="AP69" s="90"/>
    </row>
    <row r="70" spans="41:42" ht="18" customHeight="1">
      <c r="AO70" s="90"/>
      <c r="AP70" s="90"/>
    </row>
    <row r="71" spans="41:42" ht="18" customHeight="1">
      <c r="AO71" s="90"/>
      <c r="AP71" s="90"/>
    </row>
    <row r="72" spans="41:42" ht="18" customHeight="1">
      <c r="AO72" s="90"/>
      <c r="AP72" s="90"/>
    </row>
    <row r="73" spans="41:42" ht="18" customHeight="1">
      <c r="AO73" s="90"/>
      <c r="AP73" s="90"/>
    </row>
    <row r="74" spans="41:42" ht="18" customHeight="1">
      <c r="AO74" s="90"/>
      <c r="AP74" s="90"/>
    </row>
    <row r="75" spans="41:42" ht="18" customHeight="1">
      <c r="AO75" s="90"/>
      <c r="AP75" s="90"/>
    </row>
    <row r="76" spans="41:42" ht="18" customHeight="1">
      <c r="AO76" s="90"/>
      <c r="AP76" s="90"/>
    </row>
    <row r="77" spans="41:42" ht="18" customHeight="1">
      <c r="AO77" s="90"/>
      <c r="AP77" s="90"/>
    </row>
    <row r="78" spans="41:42" ht="18" customHeight="1">
      <c r="AO78" s="90"/>
      <c r="AP78" s="90"/>
    </row>
    <row r="79" spans="41:42" ht="18" customHeight="1">
      <c r="AO79" s="90"/>
      <c r="AP79" s="90"/>
    </row>
    <row r="80" spans="41:42" ht="18" customHeight="1">
      <c r="AO80" s="90"/>
      <c r="AP80" s="90"/>
    </row>
    <row r="81" spans="41:42" ht="18" customHeight="1">
      <c r="AO81" s="90"/>
      <c r="AP81" s="90"/>
    </row>
    <row r="82" spans="41:42" ht="18" customHeight="1">
      <c r="AO82" s="90"/>
      <c r="AP82" s="90"/>
    </row>
    <row r="83" spans="41:42" ht="18" customHeight="1">
      <c r="AO83" s="90"/>
      <c r="AP83" s="90"/>
    </row>
    <row r="84" spans="41:42" ht="18" customHeight="1">
      <c r="AO84" s="90"/>
      <c r="AP84" s="90"/>
    </row>
    <row r="85" spans="41:42" ht="18" customHeight="1">
      <c r="AO85" s="90"/>
      <c r="AP85" s="90"/>
    </row>
    <row r="86" spans="41:42" ht="18" customHeight="1">
      <c r="AO86" s="90"/>
      <c r="AP86" s="90"/>
    </row>
    <row r="87" spans="41:42" ht="18" customHeight="1">
      <c r="AO87" s="90"/>
      <c r="AP87" s="90"/>
    </row>
    <row r="88" spans="41:42" ht="18" customHeight="1">
      <c r="AO88" s="90"/>
      <c r="AP88" s="90"/>
    </row>
    <row r="89" spans="41:42" ht="18" customHeight="1">
      <c r="AO89" s="90"/>
      <c r="AP89" s="90"/>
    </row>
    <row r="90" spans="41:42" ht="18" customHeight="1">
      <c r="AO90" s="90"/>
      <c r="AP90" s="90"/>
    </row>
    <row r="91" spans="41:42" ht="18" customHeight="1">
      <c r="AO91" s="90"/>
      <c r="AP91" s="90"/>
    </row>
    <row r="92" spans="41:42" ht="18" customHeight="1">
      <c r="AO92" s="90"/>
      <c r="AP92" s="90"/>
    </row>
    <row r="93" spans="41:42" ht="18" customHeight="1">
      <c r="AO93" s="90"/>
      <c r="AP93" s="90"/>
    </row>
    <row r="94" spans="41:42" ht="18" customHeight="1">
      <c r="AO94" s="90"/>
      <c r="AP94" s="90"/>
    </row>
    <row r="95" spans="41:42" ht="18" customHeight="1">
      <c r="AO95" s="90"/>
      <c r="AP95" s="90"/>
    </row>
    <row r="96" spans="41:42" ht="18" customHeight="1">
      <c r="AO96" s="90"/>
      <c r="AP96" s="90"/>
    </row>
    <row r="97" spans="41:42" ht="18" customHeight="1">
      <c r="AO97" s="90"/>
      <c r="AP97" s="90"/>
    </row>
    <row r="98" spans="41:42" ht="18" customHeight="1">
      <c r="AO98" s="90"/>
      <c r="AP98" s="90"/>
    </row>
    <row r="99" spans="41:42" ht="18" customHeight="1">
      <c r="AO99" s="90"/>
      <c r="AP99" s="90"/>
    </row>
    <row r="100" spans="41:42" ht="18" customHeight="1">
      <c r="AO100" s="90"/>
      <c r="AP100" s="90"/>
    </row>
    <row r="101" spans="41:42" ht="18" customHeight="1">
      <c r="AO101" s="90"/>
      <c r="AP101" s="90"/>
    </row>
    <row r="102" spans="41:42" ht="18" customHeight="1">
      <c r="AO102" s="90"/>
      <c r="AP102" s="90"/>
    </row>
    <row r="103" spans="41:42" ht="18" customHeight="1">
      <c r="AO103" s="90"/>
      <c r="AP103" s="90"/>
    </row>
    <row r="104" spans="41:42" ht="18" customHeight="1">
      <c r="AO104" s="90"/>
      <c r="AP104" s="90"/>
    </row>
    <row r="105" spans="41:42" ht="18" customHeight="1">
      <c r="AO105" s="90"/>
      <c r="AP105" s="90"/>
    </row>
    <row r="106" spans="41:42" ht="18" customHeight="1">
      <c r="AO106" s="90"/>
      <c r="AP106" s="90"/>
    </row>
    <row r="107" spans="41:42" ht="18" customHeight="1">
      <c r="AO107" s="90"/>
      <c r="AP107" s="90"/>
    </row>
    <row r="108" spans="41:42" ht="18" customHeight="1">
      <c r="AO108" s="90"/>
      <c r="AP108" s="90"/>
    </row>
    <row r="109" spans="41:42" ht="18" customHeight="1">
      <c r="AO109" s="90"/>
      <c r="AP109" s="90"/>
    </row>
    <row r="110" spans="41:42" ht="18" customHeight="1">
      <c r="AO110" s="90"/>
      <c r="AP110" s="90"/>
    </row>
    <row r="111" spans="41:42" ht="18" customHeight="1">
      <c r="AO111" s="90"/>
      <c r="AP111" s="90"/>
    </row>
    <row r="112" spans="41:42" ht="18" customHeight="1">
      <c r="AO112" s="90"/>
      <c r="AP112" s="90"/>
    </row>
    <row r="113" spans="41:42" ht="18" customHeight="1">
      <c r="AO113" s="90"/>
      <c r="AP113" s="90"/>
    </row>
    <row r="114" spans="41:42" ht="18" customHeight="1">
      <c r="AO114" s="90"/>
      <c r="AP114" s="90"/>
    </row>
    <row r="115" spans="41:42" ht="18" customHeight="1">
      <c r="AO115" s="90"/>
      <c r="AP115" s="90"/>
    </row>
    <row r="116" spans="41:42" ht="18" customHeight="1">
      <c r="AO116" s="90"/>
      <c r="AP116" s="90"/>
    </row>
    <row r="117" spans="41:42" ht="18" customHeight="1">
      <c r="AO117" s="90"/>
      <c r="AP117" s="90"/>
    </row>
    <row r="118" spans="41:42" ht="18" customHeight="1">
      <c r="AO118" s="90"/>
      <c r="AP118" s="90"/>
    </row>
    <row r="119" spans="41:42" ht="18" customHeight="1">
      <c r="AO119" s="90"/>
      <c r="AP119" s="90"/>
    </row>
    <row r="120" spans="41:42" ht="18" customHeight="1">
      <c r="AO120" s="90"/>
      <c r="AP120" s="90"/>
    </row>
    <row r="121" spans="41:42" ht="18" customHeight="1">
      <c r="AO121" s="90"/>
      <c r="AP121" s="90"/>
    </row>
    <row r="122" spans="41:42" ht="18" customHeight="1">
      <c r="AO122" s="90"/>
      <c r="AP122" s="90"/>
    </row>
    <row r="123" spans="41:42" ht="18" customHeight="1">
      <c r="AO123" s="90"/>
      <c r="AP123" s="90"/>
    </row>
    <row r="124" spans="41:42" ht="18" customHeight="1">
      <c r="AO124" s="90"/>
      <c r="AP124" s="90"/>
    </row>
    <row r="125" spans="41:42" ht="18" customHeight="1">
      <c r="AO125" s="90"/>
      <c r="AP125" s="90"/>
    </row>
    <row r="126" spans="41:42" ht="18" customHeight="1">
      <c r="AO126" s="90"/>
      <c r="AP126" s="90"/>
    </row>
    <row r="127" spans="41:42" ht="18" customHeight="1">
      <c r="AO127" s="90"/>
      <c r="AP127" s="90"/>
    </row>
    <row r="128" spans="41:42" ht="18" customHeight="1">
      <c r="AO128" s="90"/>
      <c r="AP128" s="90"/>
    </row>
    <row r="129" spans="41:42" ht="18" customHeight="1">
      <c r="AO129" s="90"/>
      <c r="AP129" s="90"/>
    </row>
    <row r="130" spans="41:42" ht="18" customHeight="1">
      <c r="AO130" s="90"/>
      <c r="AP130" s="90"/>
    </row>
    <row r="131" spans="41:42" ht="18" customHeight="1">
      <c r="AO131" s="90"/>
      <c r="AP131" s="90"/>
    </row>
    <row r="132" spans="41:42" ht="18" customHeight="1">
      <c r="AO132" s="90"/>
      <c r="AP132" s="90"/>
    </row>
    <row r="133" spans="41:42" ht="18" customHeight="1">
      <c r="AO133" s="90"/>
      <c r="AP133" s="90"/>
    </row>
    <row r="134" spans="41:42" ht="18" customHeight="1">
      <c r="AO134" s="90"/>
      <c r="AP134" s="90"/>
    </row>
    <row r="135" spans="41:42" ht="18" customHeight="1">
      <c r="AO135" s="90"/>
      <c r="AP135" s="90"/>
    </row>
    <row r="136" spans="41:42" ht="18" customHeight="1">
      <c r="AO136" s="90"/>
      <c r="AP136" s="90"/>
    </row>
    <row r="137" spans="41:42" ht="18" customHeight="1">
      <c r="AO137" s="90"/>
      <c r="AP137" s="90"/>
    </row>
    <row r="138" spans="41:42" ht="18" customHeight="1">
      <c r="AO138" s="90"/>
      <c r="AP138" s="90"/>
    </row>
    <row r="139" spans="41:42" ht="18" customHeight="1">
      <c r="AO139" s="90"/>
      <c r="AP139" s="90"/>
    </row>
    <row r="140" spans="41:42" ht="18" customHeight="1">
      <c r="AO140" s="90"/>
      <c r="AP140" s="90"/>
    </row>
    <row r="141" spans="41:42" ht="18" customHeight="1">
      <c r="AO141" s="90"/>
      <c r="AP141" s="90"/>
    </row>
    <row r="142" spans="41:42" ht="18" customHeight="1">
      <c r="AO142" s="90"/>
      <c r="AP142" s="90"/>
    </row>
    <row r="143" spans="41:42" ht="18" customHeight="1">
      <c r="AO143" s="90"/>
      <c r="AP143" s="90"/>
    </row>
    <row r="144" spans="41:42" ht="18" customHeight="1">
      <c r="AO144" s="90"/>
      <c r="AP144" s="90"/>
    </row>
    <row r="145" spans="41:42" ht="18" customHeight="1">
      <c r="AO145" s="90"/>
      <c r="AP145" s="90"/>
    </row>
    <row r="146" spans="41:42" ht="18" customHeight="1">
      <c r="AO146" s="90"/>
      <c r="AP146" s="90"/>
    </row>
    <row r="147" spans="41:42" ht="18" customHeight="1">
      <c r="AO147" s="90"/>
      <c r="AP147" s="90"/>
    </row>
    <row r="148" spans="41:42" ht="18" customHeight="1">
      <c r="AO148" s="90"/>
      <c r="AP148" s="90"/>
    </row>
    <row r="149" spans="41:42" ht="18" customHeight="1">
      <c r="AO149" s="90"/>
      <c r="AP149" s="90"/>
    </row>
    <row r="150" spans="41:42" ht="18" customHeight="1">
      <c r="AO150" s="90"/>
      <c r="AP150" s="90"/>
    </row>
    <row r="151" spans="41:42" ht="18" customHeight="1">
      <c r="AO151" s="90"/>
      <c r="AP151" s="90"/>
    </row>
    <row r="152" spans="41:42" ht="18" customHeight="1">
      <c r="AO152" s="90"/>
      <c r="AP152" s="90"/>
    </row>
    <row r="153" spans="41:42" ht="18" customHeight="1">
      <c r="AO153" s="90"/>
      <c r="AP153" s="90"/>
    </row>
    <row r="154" spans="41:42" ht="18" customHeight="1">
      <c r="AO154" s="90"/>
      <c r="AP154" s="90"/>
    </row>
    <row r="155" spans="41:42" ht="18" customHeight="1">
      <c r="AO155" s="90"/>
      <c r="AP155" s="90"/>
    </row>
    <row r="156" spans="41:42" ht="18" customHeight="1">
      <c r="AO156" s="90"/>
      <c r="AP156" s="90"/>
    </row>
    <row r="157" spans="41:42" ht="18" customHeight="1">
      <c r="AO157" s="90"/>
      <c r="AP157" s="90"/>
    </row>
    <row r="158" spans="41:42" ht="18" customHeight="1">
      <c r="AO158" s="90"/>
      <c r="AP158" s="90"/>
    </row>
    <row r="159" spans="41:42" ht="18" customHeight="1">
      <c r="AO159" s="90"/>
      <c r="AP159" s="90"/>
    </row>
    <row r="160" spans="41:42" ht="18" customHeight="1">
      <c r="AO160" s="90"/>
      <c r="AP160" s="90"/>
    </row>
    <row r="161" spans="41:42" ht="18" customHeight="1">
      <c r="AO161" s="90"/>
      <c r="AP161" s="90"/>
    </row>
    <row r="162" spans="41:42" ht="18" customHeight="1">
      <c r="AO162" s="90"/>
      <c r="AP162" s="90"/>
    </row>
    <row r="163" spans="41:42" ht="18" customHeight="1">
      <c r="AO163" s="90"/>
      <c r="AP163" s="90"/>
    </row>
    <row r="164" spans="41:42" ht="18" customHeight="1">
      <c r="AO164" s="90"/>
      <c r="AP164" s="90"/>
    </row>
    <row r="165" spans="41:42" ht="18" customHeight="1">
      <c r="AO165" s="90"/>
      <c r="AP165" s="90"/>
    </row>
    <row r="166" spans="41:42" ht="18" customHeight="1">
      <c r="AO166" s="90"/>
      <c r="AP166" s="90"/>
    </row>
    <row r="167" spans="41:42" ht="18" customHeight="1">
      <c r="AO167" s="90"/>
      <c r="AP167" s="90"/>
    </row>
    <row r="168" spans="41:42" ht="18" customHeight="1">
      <c r="AO168" s="90"/>
      <c r="AP168" s="90"/>
    </row>
    <row r="169" spans="41:42" ht="18" customHeight="1">
      <c r="AO169" s="90"/>
      <c r="AP169" s="90"/>
    </row>
    <row r="170" spans="41:42" ht="18" customHeight="1">
      <c r="AO170" s="90"/>
      <c r="AP170" s="90"/>
    </row>
    <row r="171" spans="41:42" ht="18" customHeight="1">
      <c r="AO171" s="90"/>
      <c r="AP171" s="90"/>
    </row>
    <row r="172" spans="41:42" ht="18" customHeight="1">
      <c r="AO172" s="90"/>
      <c r="AP172" s="90"/>
    </row>
    <row r="173" spans="41:42" ht="18" customHeight="1">
      <c r="AO173" s="90"/>
      <c r="AP173" s="90"/>
    </row>
    <row r="174" spans="41:42" ht="18" customHeight="1">
      <c r="AO174" s="90"/>
      <c r="AP174" s="90"/>
    </row>
    <row r="175" spans="41:42" ht="18" customHeight="1">
      <c r="AO175" s="90"/>
      <c r="AP175" s="90"/>
    </row>
    <row r="176" spans="41:42" ht="18" customHeight="1">
      <c r="AO176" s="90"/>
      <c r="AP176" s="90"/>
    </row>
    <row r="177" spans="41:42" ht="18" customHeight="1">
      <c r="AO177" s="90"/>
      <c r="AP177" s="90"/>
    </row>
    <row r="178" spans="41:42" ht="18" customHeight="1">
      <c r="AO178" s="90"/>
      <c r="AP178" s="90"/>
    </row>
    <row r="179" spans="41:42" ht="18" customHeight="1">
      <c r="AO179" s="90"/>
      <c r="AP179" s="90"/>
    </row>
    <row r="180" spans="41:42" ht="18" customHeight="1">
      <c r="AO180" s="90"/>
      <c r="AP180" s="90"/>
    </row>
    <row r="181" spans="41:42" ht="18" customHeight="1">
      <c r="AO181" s="90"/>
      <c r="AP181" s="90"/>
    </row>
    <row r="182" spans="41:42" ht="18" customHeight="1">
      <c r="AO182" s="90"/>
      <c r="AP182" s="90"/>
    </row>
    <row r="183" spans="41:42" ht="18" customHeight="1">
      <c r="AO183" s="90"/>
      <c r="AP183" s="90"/>
    </row>
    <row r="184" spans="41:42" ht="18" customHeight="1">
      <c r="AO184" s="90"/>
      <c r="AP184" s="90"/>
    </row>
    <row r="185" spans="41:42" ht="18" customHeight="1">
      <c r="AO185" s="90"/>
      <c r="AP185" s="90"/>
    </row>
    <row r="186" spans="41:42" ht="18" customHeight="1">
      <c r="AO186" s="90"/>
      <c r="AP186" s="90"/>
    </row>
    <row r="187" spans="41:42" ht="18" customHeight="1">
      <c r="AO187" s="90"/>
      <c r="AP187" s="90"/>
    </row>
    <row r="188" spans="41:42" ht="18" customHeight="1">
      <c r="AO188" s="90"/>
      <c r="AP188" s="90"/>
    </row>
    <row r="189" spans="41:42" ht="18" customHeight="1">
      <c r="AO189" s="90"/>
      <c r="AP189" s="90"/>
    </row>
    <row r="190" spans="41:42" ht="18" customHeight="1">
      <c r="AO190" s="90"/>
      <c r="AP190" s="90"/>
    </row>
    <row r="191" spans="41:42" ht="18" customHeight="1">
      <c r="AO191" s="90"/>
      <c r="AP191" s="90"/>
    </row>
    <row r="192" spans="41:42" ht="18" customHeight="1">
      <c r="AO192" s="90"/>
      <c r="AP192" s="90"/>
    </row>
    <row r="193" spans="41:42" ht="18" customHeight="1">
      <c r="AO193" s="90"/>
      <c r="AP193" s="90"/>
    </row>
    <row r="194" spans="41:42" ht="18" customHeight="1">
      <c r="AO194" s="90"/>
      <c r="AP194" s="90"/>
    </row>
    <row r="195" spans="41:42" ht="18" customHeight="1">
      <c r="AO195" s="90"/>
      <c r="AP195" s="90"/>
    </row>
    <row r="196" spans="41:42" ht="18" customHeight="1">
      <c r="AO196" s="90"/>
      <c r="AP196" s="90"/>
    </row>
    <row r="197" spans="41:42" ht="18" customHeight="1">
      <c r="AO197" s="90"/>
      <c r="AP197" s="90"/>
    </row>
    <row r="198" spans="41:42" ht="18" customHeight="1">
      <c r="AO198" s="90"/>
      <c r="AP198" s="90"/>
    </row>
    <row r="199" spans="41:42" ht="18" customHeight="1">
      <c r="AO199" s="90"/>
      <c r="AP199" s="90"/>
    </row>
    <row r="200" spans="41:42" ht="18" customHeight="1">
      <c r="AO200" s="90"/>
      <c r="AP200" s="90"/>
    </row>
    <row r="201" spans="41:42" ht="18" customHeight="1">
      <c r="AO201" s="90"/>
      <c r="AP201" s="90"/>
    </row>
    <row r="202" spans="41:42" ht="18" customHeight="1">
      <c r="AO202" s="90"/>
      <c r="AP202" s="90"/>
    </row>
    <row r="203" spans="41:42" ht="18" customHeight="1">
      <c r="AO203" s="90"/>
      <c r="AP203" s="90"/>
    </row>
    <row r="204" spans="41:42" ht="18" customHeight="1">
      <c r="AO204" s="90"/>
      <c r="AP204" s="90"/>
    </row>
    <row r="205" spans="41:42" ht="18" customHeight="1">
      <c r="AO205" s="90"/>
      <c r="AP205" s="90"/>
    </row>
    <row r="206" spans="41:42" ht="18" customHeight="1">
      <c r="AO206" s="90"/>
      <c r="AP206" s="90"/>
    </row>
    <row r="207" spans="41:42" ht="18" customHeight="1">
      <c r="AO207" s="90"/>
      <c r="AP207" s="90"/>
    </row>
    <row r="208" spans="41:42" ht="18" customHeight="1">
      <c r="AO208" s="90"/>
      <c r="AP208" s="90"/>
    </row>
    <row r="209" spans="41:42" ht="18" customHeight="1">
      <c r="AO209" s="90"/>
      <c r="AP209" s="90"/>
    </row>
    <row r="210" spans="41:42" ht="18" customHeight="1">
      <c r="AO210" s="90"/>
      <c r="AP210" s="90"/>
    </row>
    <row r="211" spans="41:42" ht="18" customHeight="1">
      <c r="AO211" s="90"/>
      <c r="AP211" s="90"/>
    </row>
    <row r="212" spans="41:42" ht="18" customHeight="1">
      <c r="AO212" s="90"/>
      <c r="AP212" s="90"/>
    </row>
    <row r="213" spans="41:42" ht="18" customHeight="1">
      <c r="AO213" s="90"/>
      <c r="AP213" s="90"/>
    </row>
    <row r="214" spans="41:42" ht="18" customHeight="1">
      <c r="AO214" s="90"/>
      <c r="AP214" s="90"/>
    </row>
    <row r="215" spans="41:42" ht="18" customHeight="1">
      <c r="AO215" s="90"/>
      <c r="AP215" s="90"/>
    </row>
    <row r="216" spans="41:42" ht="18" customHeight="1">
      <c r="AO216" s="90"/>
      <c r="AP216" s="90"/>
    </row>
    <row r="217" spans="41:42" ht="18" customHeight="1">
      <c r="AO217" s="90"/>
      <c r="AP217" s="90"/>
    </row>
    <row r="218" spans="41:42" ht="18" customHeight="1">
      <c r="AO218" s="90"/>
      <c r="AP218" s="90"/>
    </row>
    <row r="219" spans="41:42" ht="18" customHeight="1">
      <c r="AO219" s="90"/>
      <c r="AP219" s="90"/>
    </row>
    <row r="220" spans="41:42" ht="18" customHeight="1">
      <c r="AO220" s="90"/>
      <c r="AP220" s="90"/>
    </row>
    <row r="221" spans="41:42" ht="18" customHeight="1">
      <c r="AO221" s="90"/>
      <c r="AP221" s="90"/>
    </row>
    <row r="222" spans="41:42" ht="18" customHeight="1">
      <c r="AO222" s="90"/>
      <c r="AP222" s="90"/>
    </row>
    <row r="223" spans="41:42" ht="18" customHeight="1">
      <c r="AO223" s="90"/>
      <c r="AP223" s="90"/>
    </row>
    <row r="224" spans="41:42" ht="18" customHeight="1">
      <c r="AO224" s="90"/>
      <c r="AP224" s="90"/>
    </row>
    <row r="225" spans="41:42" ht="18" customHeight="1">
      <c r="AO225" s="90"/>
      <c r="AP225" s="90"/>
    </row>
    <row r="226" spans="41:42" ht="18" customHeight="1">
      <c r="AO226" s="90"/>
      <c r="AP226" s="90"/>
    </row>
    <row r="227" spans="41:42" ht="18" customHeight="1">
      <c r="AO227" s="90"/>
      <c r="AP227" s="90"/>
    </row>
    <row r="228" spans="41:42" ht="18" customHeight="1">
      <c r="AO228" s="90"/>
      <c r="AP228" s="90"/>
    </row>
    <row r="229" spans="41:42" ht="18" customHeight="1">
      <c r="AO229" s="90"/>
      <c r="AP229" s="90"/>
    </row>
    <row r="230" spans="41:42" ht="18" customHeight="1">
      <c r="AO230" s="90"/>
      <c r="AP230" s="90"/>
    </row>
    <row r="231" spans="41:42" ht="18" customHeight="1">
      <c r="AO231" s="90"/>
      <c r="AP231" s="90"/>
    </row>
    <row r="232" spans="41:42" ht="18" customHeight="1">
      <c r="AO232" s="90"/>
      <c r="AP232" s="90"/>
    </row>
    <row r="233" spans="41:42" ht="18" customHeight="1">
      <c r="AO233" s="90"/>
      <c r="AP233" s="90"/>
    </row>
    <row r="234" spans="41:42" ht="18" customHeight="1">
      <c r="AO234" s="90"/>
      <c r="AP234" s="90"/>
    </row>
    <row r="235" spans="41:42" ht="18" customHeight="1">
      <c r="AO235" s="90"/>
      <c r="AP235" s="90"/>
    </row>
    <row r="236" spans="41:42" ht="18" customHeight="1">
      <c r="AO236" s="90"/>
      <c r="AP236" s="90"/>
    </row>
    <row r="237" spans="41:42" ht="18" customHeight="1">
      <c r="AO237" s="90"/>
      <c r="AP237" s="90"/>
    </row>
    <row r="238" spans="41:42" ht="18" customHeight="1">
      <c r="AO238" s="90"/>
      <c r="AP238" s="90"/>
    </row>
    <row r="239" spans="41:42" ht="18" customHeight="1">
      <c r="AO239" s="90"/>
      <c r="AP239" s="90"/>
    </row>
    <row r="240" spans="41:42" ht="18" customHeight="1">
      <c r="AO240" s="90"/>
      <c r="AP240" s="90"/>
    </row>
    <row r="241" spans="41:42" ht="18" customHeight="1">
      <c r="AO241" s="90"/>
      <c r="AP241" s="90"/>
    </row>
    <row r="242" spans="41:42" ht="18" customHeight="1">
      <c r="AO242" s="90"/>
      <c r="AP242" s="90"/>
    </row>
    <row r="243" spans="41:42" ht="18" customHeight="1">
      <c r="AO243" s="90"/>
      <c r="AP243" s="90"/>
    </row>
    <row r="244" spans="41:42" ht="18" customHeight="1">
      <c r="AO244" s="90"/>
      <c r="AP244" s="90"/>
    </row>
    <row r="245" spans="41:42" ht="18" customHeight="1">
      <c r="AO245" s="90"/>
      <c r="AP245" s="90"/>
    </row>
    <row r="246" spans="41:42" ht="18" customHeight="1">
      <c r="AO246" s="90"/>
      <c r="AP246" s="90"/>
    </row>
    <row r="247" spans="41:42" ht="18" customHeight="1">
      <c r="AO247" s="90"/>
      <c r="AP247" s="90"/>
    </row>
    <row r="248" spans="41:42" ht="18" customHeight="1">
      <c r="AO248" s="90"/>
      <c r="AP248" s="90"/>
    </row>
    <row r="249" spans="41:42" ht="18" customHeight="1">
      <c r="AO249" s="90"/>
      <c r="AP249" s="90"/>
    </row>
    <row r="250" spans="41:42" ht="18" customHeight="1">
      <c r="AO250" s="90"/>
      <c r="AP250" s="90"/>
    </row>
    <row r="251" spans="41:42" ht="18" customHeight="1">
      <c r="AO251" s="90"/>
      <c r="AP251" s="90"/>
    </row>
    <row r="252" spans="41:42" ht="18" customHeight="1">
      <c r="AO252" s="90"/>
      <c r="AP252" s="90"/>
    </row>
    <row r="253" spans="41:42" ht="18" customHeight="1">
      <c r="AO253" s="90"/>
      <c r="AP253" s="90"/>
    </row>
    <row r="254" spans="41:42" ht="18" customHeight="1">
      <c r="AO254" s="90"/>
      <c r="AP254" s="90"/>
    </row>
    <row r="255" spans="41:42" ht="18" customHeight="1">
      <c r="AO255" s="90"/>
      <c r="AP255" s="90"/>
    </row>
    <row r="256" spans="41:42" ht="18" customHeight="1">
      <c r="AO256" s="90"/>
      <c r="AP256" s="90"/>
    </row>
    <row r="257" spans="41:42" ht="18" customHeight="1">
      <c r="AO257" s="90"/>
      <c r="AP257" s="90"/>
    </row>
    <row r="258" spans="41:42" ht="18" customHeight="1">
      <c r="AO258" s="90"/>
      <c r="AP258" s="90"/>
    </row>
    <row r="259" spans="41:42" ht="18" customHeight="1">
      <c r="AO259" s="90"/>
      <c r="AP259" s="90"/>
    </row>
    <row r="260" spans="41:42" ht="18" customHeight="1">
      <c r="AO260" s="90"/>
      <c r="AP260" s="90"/>
    </row>
    <row r="261" spans="41:42" ht="18" customHeight="1">
      <c r="AO261" s="90"/>
      <c r="AP261" s="90"/>
    </row>
    <row r="262" spans="41:42" ht="18" customHeight="1">
      <c r="AO262" s="90"/>
      <c r="AP262" s="90"/>
    </row>
    <row r="263" spans="41:42" ht="18" customHeight="1">
      <c r="AO263" s="90"/>
      <c r="AP263" s="90"/>
    </row>
    <row r="264" spans="41:42" ht="18" customHeight="1">
      <c r="AO264" s="90"/>
      <c r="AP264" s="90"/>
    </row>
    <row r="265" spans="41:42" ht="18" customHeight="1">
      <c r="AO265" s="90"/>
      <c r="AP265" s="90"/>
    </row>
    <row r="266" spans="41:42" ht="18" customHeight="1">
      <c r="AO266" s="90"/>
      <c r="AP266" s="90"/>
    </row>
    <row r="267" spans="41:42" ht="18" customHeight="1">
      <c r="AO267" s="90"/>
      <c r="AP267" s="90"/>
    </row>
    <row r="268" spans="41:42" ht="18" customHeight="1">
      <c r="AO268" s="90"/>
      <c r="AP268" s="90"/>
    </row>
    <row r="269" spans="41:42" ht="18" customHeight="1">
      <c r="AO269" s="90"/>
      <c r="AP269" s="90"/>
    </row>
    <row r="270" spans="41:42" ht="18" customHeight="1">
      <c r="AO270" s="90"/>
      <c r="AP270" s="90"/>
    </row>
    <row r="271" spans="41:42" ht="18" customHeight="1">
      <c r="AO271" s="90"/>
      <c r="AP271" s="90"/>
    </row>
    <row r="272" spans="41:42" ht="18" customHeight="1">
      <c r="AO272" s="90"/>
      <c r="AP272" s="90"/>
    </row>
    <row r="273" spans="41:42" ht="18" customHeight="1">
      <c r="AO273" s="90"/>
      <c r="AP273" s="90"/>
    </row>
    <row r="274" spans="41:42" ht="18" customHeight="1">
      <c r="AO274" s="90"/>
      <c r="AP274" s="90"/>
    </row>
    <row r="275" spans="41:42" ht="18" customHeight="1">
      <c r="AO275" s="90"/>
      <c r="AP275" s="90"/>
    </row>
    <row r="276" spans="41:42" ht="18" customHeight="1">
      <c r="AO276" s="90"/>
      <c r="AP276" s="90"/>
    </row>
    <row r="277" spans="41:42" ht="18" customHeight="1">
      <c r="AO277" s="90"/>
      <c r="AP277" s="90"/>
    </row>
    <row r="278" spans="41:42" ht="18" customHeight="1">
      <c r="AO278" s="90"/>
      <c r="AP278" s="90"/>
    </row>
    <row r="279" spans="41:42" ht="18" customHeight="1">
      <c r="AO279" s="90"/>
      <c r="AP279" s="90"/>
    </row>
    <row r="280" spans="41:42" ht="18" customHeight="1">
      <c r="AO280" s="90"/>
      <c r="AP280" s="90"/>
    </row>
    <row r="281" spans="41:42" ht="18" customHeight="1">
      <c r="AO281" s="90"/>
      <c r="AP281" s="90"/>
    </row>
    <row r="282" spans="41:42" ht="18" customHeight="1">
      <c r="AO282" s="90"/>
      <c r="AP282" s="90"/>
    </row>
    <row r="283" spans="41:42" ht="18" customHeight="1">
      <c r="AO283" s="90"/>
      <c r="AP283" s="90"/>
    </row>
    <row r="284" spans="41:42" ht="18" customHeight="1">
      <c r="AO284" s="90"/>
      <c r="AP284" s="90"/>
    </row>
    <row r="285" spans="41:42" ht="18" customHeight="1">
      <c r="AO285" s="90"/>
      <c r="AP285" s="90"/>
    </row>
    <row r="286" spans="41:42" ht="18" customHeight="1">
      <c r="AO286" s="90"/>
      <c r="AP286" s="90"/>
    </row>
    <row r="287" spans="41:42" ht="18" customHeight="1">
      <c r="AO287" s="90"/>
      <c r="AP287" s="90"/>
    </row>
    <row r="288" spans="41:42" ht="18" customHeight="1">
      <c r="AO288" s="90"/>
      <c r="AP288" s="90"/>
    </row>
    <row r="289" spans="41:42" ht="18" customHeight="1">
      <c r="AO289" s="90"/>
      <c r="AP289" s="90"/>
    </row>
    <row r="290" spans="41:42" ht="18" customHeight="1">
      <c r="AO290" s="90"/>
      <c r="AP290" s="90"/>
    </row>
    <row r="291" spans="41:42" ht="18" customHeight="1">
      <c r="AO291" s="90"/>
      <c r="AP291" s="90"/>
    </row>
    <row r="292" spans="41:42" ht="18" customHeight="1">
      <c r="AO292" s="90"/>
      <c r="AP292" s="90"/>
    </row>
    <row r="293" spans="41:42" ht="18" customHeight="1">
      <c r="AO293" s="90"/>
      <c r="AP293" s="90"/>
    </row>
    <row r="294" spans="41:42" ht="18" customHeight="1">
      <c r="AO294" s="90"/>
      <c r="AP294" s="90"/>
    </row>
    <row r="295" spans="41:42" ht="18" customHeight="1">
      <c r="AO295" s="90"/>
      <c r="AP295" s="90"/>
    </row>
    <row r="296" spans="41:42" ht="18" customHeight="1">
      <c r="AO296" s="90"/>
      <c r="AP296" s="90"/>
    </row>
    <row r="297" spans="41:42" ht="18" customHeight="1">
      <c r="AO297" s="90"/>
      <c r="AP297" s="90"/>
    </row>
    <row r="298" spans="41:42" ht="18" customHeight="1">
      <c r="AO298" s="90"/>
      <c r="AP298" s="90"/>
    </row>
    <row r="299" spans="41:42" ht="18" customHeight="1">
      <c r="AO299" s="90"/>
      <c r="AP299" s="90"/>
    </row>
    <row r="300" spans="41:42" ht="18" customHeight="1">
      <c r="AO300" s="90"/>
      <c r="AP300" s="90"/>
    </row>
    <row r="301" spans="41:42" ht="18" customHeight="1">
      <c r="AO301" s="90"/>
      <c r="AP301" s="90"/>
    </row>
    <row r="302" spans="41:42" ht="18" customHeight="1">
      <c r="AO302" s="90"/>
      <c r="AP302" s="90"/>
    </row>
    <row r="303" spans="41:42" ht="18" customHeight="1">
      <c r="AO303" s="90"/>
      <c r="AP303" s="90"/>
    </row>
    <row r="304" spans="41:42" ht="18" customHeight="1">
      <c r="AO304" s="90"/>
      <c r="AP304" s="90"/>
    </row>
    <row r="305" spans="41:42" ht="18" customHeight="1">
      <c r="AO305" s="90"/>
      <c r="AP305" s="90"/>
    </row>
    <row r="306" spans="41:42" ht="18" customHeight="1">
      <c r="AO306" s="90"/>
      <c r="AP306" s="90"/>
    </row>
    <row r="307" spans="41:42" ht="18" customHeight="1">
      <c r="AO307" s="90"/>
      <c r="AP307" s="90"/>
    </row>
    <row r="308" spans="41:42" ht="18" customHeight="1">
      <c r="AO308" s="90"/>
      <c r="AP308" s="90"/>
    </row>
    <row r="309" spans="41:42" ht="18" customHeight="1">
      <c r="AO309" s="90"/>
      <c r="AP309" s="90"/>
    </row>
    <row r="310" spans="41:42" ht="18" customHeight="1">
      <c r="AO310" s="90"/>
      <c r="AP310" s="90"/>
    </row>
    <row r="311" spans="41:42" ht="18" customHeight="1">
      <c r="AO311" s="90"/>
      <c r="AP311" s="90"/>
    </row>
    <row r="312" spans="41:42" ht="18" customHeight="1">
      <c r="AO312" s="90"/>
      <c r="AP312" s="90"/>
    </row>
    <row r="313" spans="41:42" ht="18" customHeight="1">
      <c r="AO313" s="90"/>
      <c r="AP313" s="90"/>
    </row>
    <row r="314" spans="41:42" ht="18" customHeight="1">
      <c r="AO314" s="90"/>
      <c r="AP314" s="90"/>
    </row>
    <row r="315" spans="41:42" ht="18" customHeight="1">
      <c r="AO315" s="90"/>
      <c r="AP315" s="90"/>
    </row>
    <row r="316" spans="41:42" ht="18" customHeight="1">
      <c r="AO316" s="90"/>
      <c r="AP316" s="90"/>
    </row>
    <row r="317" spans="41:42" ht="18" customHeight="1">
      <c r="AO317" s="90"/>
      <c r="AP317" s="90"/>
    </row>
    <row r="318" spans="41:42" ht="18" customHeight="1">
      <c r="AO318" s="90"/>
      <c r="AP318" s="90"/>
    </row>
    <row r="319" spans="41:42" ht="18" customHeight="1">
      <c r="AO319" s="90"/>
      <c r="AP319" s="90"/>
    </row>
    <row r="320" spans="41:42" ht="18" customHeight="1">
      <c r="AO320" s="90"/>
      <c r="AP320" s="90"/>
    </row>
    <row r="321" spans="41:42" ht="18" customHeight="1">
      <c r="AO321" s="90"/>
      <c r="AP321" s="90"/>
    </row>
    <row r="322" spans="41:42" ht="18" customHeight="1">
      <c r="AO322" s="90"/>
      <c r="AP322" s="90"/>
    </row>
    <row r="323" spans="41:42" ht="18" customHeight="1">
      <c r="AO323" s="90"/>
      <c r="AP323" s="90"/>
    </row>
    <row r="324" spans="41:42" ht="18" customHeight="1">
      <c r="AO324" s="90"/>
      <c r="AP324" s="90"/>
    </row>
    <row r="325" spans="41:42" ht="18" customHeight="1">
      <c r="AO325" s="90"/>
      <c r="AP325" s="90"/>
    </row>
    <row r="326" spans="41:42" ht="18" customHeight="1">
      <c r="AO326" s="90"/>
      <c r="AP326" s="90"/>
    </row>
    <row r="327" spans="41:42" ht="18" customHeight="1">
      <c r="AO327" s="90"/>
      <c r="AP327" s="90"/>
    </row>
    <row r="328" spans="41:42" ht="18" customHeight="1">
      <c r="AO328" s="90"/>
      <c r="AP328" s="90"/>
    </row>
    <row r="329" spans="41:42" ht="18" customHeight="1">
      <c r="AO329" s="90"/>
      <c r="AP329" s="90"/>
    </row>
    <row r="330" spans="41:42" ht="18" customHeight="1">
      <c r="AO330" s="90"/>
      <c r="AP330" s="90"/>
    </row>
    <row r="331" spans="41:42" ht="18" customHeight="1">
      <c r="AO331" s="90"/>
      <c r="AP331" s="90"/>
    </row>
    <row r="332" spans="41:42" ht="18" customHeight="1">
      <c r="AO332" s="90"/>
      <c r="AP332" s="90"/>
    </row>
    <row r="333" spans="41:42" ht="18" customHeight="1">
      <c r="AO333" s="90"/>
      <c r="AP333" s="90"/>
    </row>
    <row r="334" spans="41:42" ht="18" customHeight="1">
      <c r="AO334" s="90"/>
      <c r="AP334" s="90"/>
    </row>
    <row r="335" spans="41:42" ht="18" customHeight="1">
      <c r="AO335" s="90"/>
      <c r="AP335" s="90"/>
    </row>
    <row r="336" spans="41:42" ht="18" customHeight="1">
      <c r="AO336" s="90"/>
      <c r="AP336" s="90"/>
    </row>
    <row r="337" spans="41:42" ht="18" customHeight="1">
      <c r="AO337" s="90"/>
      <c r="AP337" s="90"/>
    </row>
    <row r="338" spans="41:42" ht="18" customHeight="1">
      <c r="AO338" s="90"/>
      <c r="AP338" s="90"/>
    </row>
    <row r="339" spans="41:42" ht="18" customHeight="1">
      <c r="AO339" s="90"/>
      <c r="AP339" s="90"/>
    </row>
    <row r="340" spans="41:42" ht="18" customHeight="1">
      <c r="AO340" s="90"/>
      <c r="AP340" s="90"/>
    </row>
    <row r="341" spans="41:42" ht="18" customHeight="1">
      <c r="AO341" s="90"/>
      <c r="AP341" s="90"/>
    </row>
    <row r="342" spans="41:42" ht="18" customHeight="1">
      <c r="AO342" s="90"/>
      <c r="AP342" s="90"/>
    </row>
    <row r="343" spans="41:42" ht="18" customHeight="1">
      <c r="AO343" s="90"/>
      <c r="AP343" s="90"/>
    </row>
    <row r="344" spans="41:42" ht="18" customHeight="1">
      <c r="AO344" s="90"/>
      <c r="AP344" s="90"/>
    </row>
    <row r="345" spans="41:42" ht="18" customHeight="1">
      <c r="AO345" s="90"/>
      <c r="AP345" s="90"/>
    </row>
    <row r="346" spans="41:42" ht="18" customHeight="1">
      <c r="AO346" s="90"/>
      <c r="AP346" s="90"/>
    </row>
    <row r="347" spans="41:42" ht="18" customHeight="1">
      <c r="AO347" s="90"/>
      <c r="AP347" s="90"/>
    </row>
    <row r="348" spans="41:42" ht="18" customHeight="1">
      <c r="AO348" s="90"/>
      <c r="AP348" s="90"/>
    </row>
    <row r="349" spans="41:42" ht="18" customHeight="1">
      <c r="AO349" s="90"/>
      <c r="AP349" s="90"/>
    </row>
    <row r="350" spans="41:42" ht="18" customHeight="1">
      <c r="AO350" s="90"/>
      <c r="AP350" s="90"/>
    </row>
    <row r="351" spans="41:42" ht="18" customHeight="1">
      <c r="AO351" s="90"/>
      <c r="AP351" s="90"/>
    </row>
    <row r="352" spans="41:42" ht="18" customHeight="1">
      <c r="AO352" s="90"/>
      <c r="AP352" s="90"/>
    </row>
    <row r="353" spans="41:42" ht="18" customHeight="1">
      <c r="AO353" s="90"/>
      <c r="AP353" s="90"/>
    </row>
    <row r="354" spans="41:42" ht="18" customHeight="1">
      <c r="AO354" s="90"/>
      <c r="AP354" s="90"/>
    </row>
    <row r="355" spans="41:42" ht="18" customHeight="1">
      <c r="AO355" s="90"/>
      <c r="AP355" s="90"/>
    </row>
    <row r="356" spans="41:42" ht="18" customHeight="1">
      <c r="AO356" s="90"/>
      <c r="AP356" s="90"/>
    </row>
    <row r="357" spans="41:42" ht="18" customHeight="1">
      <c r="AO357" s="90"/>
      <c r="AP357" s="90"/>
    </row>
    <row r="358" spans="41:42" ht="18" customHeight="1">
      <c r="AO358" s="90"/>
      <c r="AP358" s="90"/>
    </row>
    <row r="359" spans="41:42" ht="18" customHeight="1">
      <c r="AO359" s="90"/>
      <c r="AP359" s="90"/>
    </row>
    <row r="360" spans="41:42" ht="18" customHeight="1">
      <c r="AO360" s="90"/>
      <c r="AP360" s="90"/>
    </row>
    <row r="361" spans="41:42" ht="18" customHeight="1">
      <c r="AO361" s="90"/>
      <c r="AP361" s="90"/>
    </row>
    <row r="362" spans="41:42" ht="18" customHeight="1">
      <c r="AO362" s="90"/>
      <c r="AP362" s="90"/>
    </row>
    <row r="363" spans="41:42" ht="18" customHeight="1">
      <c r="AO363" s="90"/>
      <c r="AP363" s="90"/>
    </row>
    <row r="364" spans="41:42" ht="18" customHeight="1">
      <c r="AO364" s="90"/>
      <c r="AP364" s="90"/>
    </row>
  </sheetData>
  <mergeCells count="650">
    <mergeCell ref="AQ43:AR43"/>
    <mergeCell ref="AS43:AT43"/>
    <mergeCell ref="AD43:AE43"/>
    <mergeCell ref="AF43:AG43"/>
    <mergeCell ref="AH43:AI43"/>
    <mergeCell ref="AJ43:AK43"/>
    <mergeCell ref="AL43:AM43"/>
    <mergeCell ref="AN43:AP43"/>
    <mergeCell ref="O43:Q43"/>
    <mergeCell ref="R43:T43"/>
    <mergeCell ref="U43:W43"/>
    <mergeCell ref="X43:Y43"/>
    <mergeCell ref="Z43:AA43"/>
    <mergeCell ref="AB43:AC43"/>
    <mergeCell ref="AJ42:AK42"/>
    <mergeCell ref="AL42:AM42"/>
    <mergeCell ref="AN42:AP42"/>
    <mergeCell ref="AQ42:AR42"/>
    <mergeCell ref="AS42:AT42"/>
    <mergeCell ref="A43:B43"/>
    <mergeCell ref="C43:D43"/>
    <mergeCell ref="E43:H43"/>
    <mergeCell ref="I43:K43"/>
    <mergeCell ref="L43:N43"/>
    <mergeCell ref="X42:Y42"/>
    <mergeCell ref="Z42:AA42"/>
    <mergeCell ref="AB42:AC42"/>
    <mergeCell ref="AD42:AE42"/>
    <mergeCell ref="AF42:AG42"/>
    <mergeCell ref="AH42:AI42"/>
    <mergeCell ref="AQ41:AR41"/>
    <mergeCell ref="AS41:AT41"/>
    <mergeCell ref="A42:B42"/>
    <mergeCell ref="C42:D42"/>
    <mergeCell ref="E42:H42"/>
    <mergeCell ref="I42:K42"/>
    <mergeCell ref="L42:N42"/>
    <mergeCell ref="O42:Q42"/>
    <mergeCell ref="R42:T42"/>
    <mergeCell ref="U42:W42"/>
    <mergeCell ref="AD41:AE41"/>
    <mergeCell ref="AF41:AG41"/>
    <mergeCell ref="AH41:AI41"/>
    <mergeCell ref="AJ41:AK41"/>
    <mergeCell ref="AL41:AM41"/>
    <mergeCell ref="AN41:AP41"/>
    <mergeCell ref="O41:Q41"/>
    <mergeCell ref="R41:T41"/>
    <mergeCell ref="U41:W41"/>
    <mergeCell ref="X41:Y41"/>
    <mergeCell ref="Z41:AA41"/>
    <mergeCell ref="AB41:AC41"/>
    <mergeCell ref="AJ40:AK40"/>
    <mergeCell ref="AL40:AM40"/>
    <mergeCell ref="AN40:AP40"/>
    <mergeCell ref="AQ40:AR40"/>
    <mergeCell ref="AS40:AT40"/>
    <mergeCell ref="A41:B41"/>
    <mergeCell ref="C41:D41"/>
    <mergeCell ref="E41:H41"/>
    <mergeCell ref="I41:K41"/>
    <mergeCell ref="L41:N41"/>
    <mergeCell ref="X40:Y40"/>
    <mergeCell ref="Z40:AA40"/>
    <mergeCell ref="AB40:AC40"/>
    <mergeCell ref="AD40:AE40"/>
    <mergeCell ref="AF40:AG40"/>
    <mergeCell ref="AH40:AI40"/>
    <mergeCell ref="AQ39:AR39"/>
    <mergeCell ref="AS39:AT39"/>
    <mergeCell ref="A40:B40"/>
    <mergeCell ref="C40:D40"/>
    <mergeCell ref="E40:H40"/>
    <mergeCell ref="I40:K40"/>
    <mergeCell ref="L40:N40"/>
    <mergeCell ref="O40:Q40"/>
    <mergeCell ref="R40:T40"/>
    <mergeCell ref="U40:W40"/>
    <mergeCell ref="AD39:AE39"/>
    <mergeCell ref="AF39:AG39"/>
    <mergeCell ref="AH39:AI39"/>
    <mergeCell ref="AJ39:AK39"/>
    <mergeCell ref="AL39:AM39"/>
    <mergeCell ref="AN39:AP39"/>
    <mergeCell ref="O39:Q39"/>
    <mergeCell ref="R39:T39"/>
    <mergeCell ref="U39:W39"/>
    <mergeCell ref="X39:Y39"/>
    <mergeCell ref="Z39:AA39"/>
    <mergeCell ref="AB39:AC39"/>
    <mergeCell ref="AJ38:AK38"/>
    <mergeCell ref="AL38:AM38"/>
    <mergeCell ref="AN38:AP38"/>
    <mergeCell ref="AQ38:AR38"/>
    <mergeCell ref="AS38:AT38"/>
    <mergeCell ref="A39:B39"/>
    <mergeCell ref="C39:D39"/>
    <mergeCell ref="E39:H39"/>
    <mergeCell ref="I39:K39"/>
    <mergeCell ref="L39:N39"/>
    <mergeCell ref="X38:Y38"/>
    <mergeCell ref="Z38:AA38"/>
    <mergeCell ref="AB38:AC38"/>
    <mergeCell ref="AD38:AE38"/>
    <mergeCell ref="AF38:AG38"/>
    <mergeCell ref="AH38:AI38"/>
    <mergeCell ref="AQ37:AR37"/>
    <mergeCell ref="AS37:AT37"/>
    <mergeCell ref="A38:B38"/>
    <mergeCell ref="C38:D38"/>
    <mergeCell ref="E38:H38"/>
    <mergeCell ref="I38:K38"/>
    <mergeCell ref="L38:N38"/>
    <mergeCell ref="O38:Q38"/>
    <mergeCell ref="R38:T38"/>
    <mergeCell ref="U38:W38"/>
    <mergeCell ref="AD37:AE37"/>
    <mergeCell ref="AF37:AG37"/>
    <mergeCell ref="AH37:AI37"/>
    <mergeCell ref="AJ37:AK37"/>
    <mergeCell ref="AL37:AM37"/>
    <mergeCell ref="AN37:AP37"/>
    <mergeCell ref="O37:Q37"/>
    <mergeCell ref="R37:T37"/>
    <mergeCell ref="U37:W37"/>
    <mergeCell ref="X37:Y37"/>
    <mergeCell ref="Z37:AA37"/>
    <mergeCell ref="AB37:AC37"/>
    <mergeCell ref="AJ36:AK36"/>
    <mergeCell ref="AL36:AM36"/>
    <mergeCell ref="AN36:AP36"/>
    <mergeCell ref="AQ36:AR36"/>
    <mergeCell ref="AS36:AT36"/>
    <mergeCell ref="A37:B37"/>
    <mergeCell ref="C37:D37"/>
    <mergeCell ref="E37:H37"/>
    <mergeCell ref="I37:K37"/>
    <mergeCell ref="L37:N37"/>
    <mergeCell ref="X36:Y36"/>
    <mergeCell ref="Z36:AA36"/>
    <mergeCell ref="AB36:AC36"/>
    <mergeCell ref="AD36:AE36"/>
    <mergeCell ref="AF36:AG36"/>
    <mergeCell ref="AH36:AI36"/>
    <mergeCell ref="AQ35:AR35"/>
    <mergeCell ref="AS35:AT35"/>
    <mergeCell ref="A36:B36"/>
    <mergeCell ref="C36:D36"/>
    <mergeCell ref="E36:H36"/>
    <mergeCell ref="I36:K36"/>
    <mergeCell ref="L36:N36"/>
    <mergeCell ref="O36:Q36"/>
    <mergeCell ref="R36:T36"/>
    <mergeCell ref="U36:W36"/>
    <mergeCell ref="AD35:AE35"/>
    <mergeCell ref="AF35:AG35"/>
    <mergeCell ref="AH35:AI35"/>
    <mergeCell ref="AJ35:AK35"/>
    <mergeCell ref="AL35:AM35"/>
    <mergeCell ref="AN35:AP35"/>
    <mergeCell ref="O35:Q35"/>
    <mergeCell ref="R35:T35"/>
    <mergeCell ref="U35:W35"/>
    <mergeCell ref="X35:Y35"/>
    <mergeCell ref="Z35:AA35"/>
    <mergeCell ref="AB35:AC35"/>
    <mergeCell ref="AJ34:AK34"/>
    <mergeCell ref="AL34:AM34"/>
    <mergeCell ref="AN34:AP34"/>
    <mergeCell ref="AQ34:AR34"/>
    <mergeCell ref="AS34:AT34"/>
    <mergeCell ref="A35:B35"/>
    <mergeCell ref="C35:D35"/>
    <mergeCell ref="E35:H35"/>
    <mergeCell ref="I35:K35"/>
    <mergeCell ref="L35:N35"/>
    <mergeCell ref="X34:Y34"/>
    <mergeCell ref="Z34:AA34"/>
    <mergeCell ref="AB34:AC34"/>
    <mergeCell ref="AD34:AE34"/>
    <mergeCell ref="AF34:AG34"/>
    <mergeCell ref="AH34:AI34"/>
    <mergeCell ref="AQ33:AR33"/>
    <mergeCell ref="AS33:AT33"/>
    <mergeCell ref="A34:B34"/>
    <mergeCell ref="C34:D34"/>
    <mergeCell ref="E34:H34"/>
    <mergeCell ref="I34:K34"/>
    <mergeCell ref="L34:N34"/>
    <mergeCell ref="O34:Q34"/>
    <mergeCell ref="R34:T34"/>
    <mergeCell ref="U34:W34"/>
    <mergeCell ref="AD33:AE33"/>
    <mergeCell ref="AF33:AG33"/>
    <mergeCell ref="AH33:AI33"/>
    <mergeCell ref="AJ33:AK33"/>
    <mergeCell ref="AL33:AM33"/>
    <mergeCell ref="AN33:AP33"/>
    <mergeCell ref="O33:Q33"/>
    <mergeCell ref="R33:T33"/>
    <mergeCell ref="U33:W33"/>
    <mergeCell ref="X33:Y33"/>
    <mergeCell ref="Z33:AA33"/>
    <mergeCell ref="AB33:AC33"/>
    <mergeCell ref="AJ32:AK32"/>
    <mergeCell ref="AL32:AM32"/>
    <mergeCell ref="AN32:AP32"/>
    <mergeCell ref="AQ32:AR32"/>
    <mergeCell ref="AS32:AT32"/>
    <mergeCell ref="A33:B33"/>
    <mergeCell ref="C33:D33"/>
    <mergeCell ref="E33:H33"/>
    <mergeCell ref="I33:K33"/>
    <mergeCell ref="L33:N33"/>
    <mergeCell ref="X32:Y32"/>
    <mergeCell ref="Z32:AA32"/>
    <mergeCell ref="AB32:AC32"/>
    <mergeCell ref="AD32:AE32"/>
    <mergeCell ref="AF32:AG32"/>
    <mergeCell ref="AH32:AI32"/>
    <mergeCell ref="AQ31:AR31"/>
    <mergeCell ref="AS31:AT31"/>
    <mergeCell ref="A32:B32"/>
    <mergeCell ref="C32:D32"/>
    <mergeCell ref="E32:H32"/>
    <mergeCell ref="I32:K32"/>
    <mergeCell ref="L32:N32"/>
    <mergeCell ref="O32:Q32"/>
    <mergeCell ref="R32:T32"/>
    <mergeCell ref="U32:W32"/>
    <mergeCell ref="AD31:AE31"/>
    <mergeCell ref="AF31:AG31"/>
    <mergeCell ref="AH31:AI31"/>
    <mergeCell ref="AJ31:AK31"/>
    <mergeCell ref="AL31:AM31"/>
    <mergeCell ref="AN31:AP31"/>
    <mergeCell ref="O31:Q31"/>
    <mergeCell ref="R31:T31"/>
    <mergeCell ref="U31:W31"/>
    <mergeCell ref="X31:Y31"/>
    <mergeCell ref="Z31:AA31"/>
    <mergeCell ref="AB31:AC31"/>
    <mergeCell ref="AJ30:AK30"/>
    <mergeCell ref="AL30:AM30"/>
    <mergeCell ref="AN30:AP30"/>
    <mergeCell ref="AQ30:AR30"/>
    <mergeCell ref="AS30:AT30"/>
    <mergeCell ref="A31:B31"/>
    <mergeCell ref="C31:D31"/>
    <mergeCell ref="E31:H31"/>
    <mergeCell ref="I31:K31"/>
    <mergeCell ref="L31:N31"/>
    <mergeCell ref="X30:Y30"/>
    <mergeCell ref="Z30:AA30"/>
    <mergeCell ref="AB30:AC30"/>
    <mergeCell ref="AD30:AE30"/>
    <mergeCell ref="AF30:AG30"/>
    <mergeCell ref="AH30:AI30"/>
    <mergeCell ref="AQ29:AR29"/>
    <mergeCell ref="AS29:AT29"/>
    <mergeCell ref="A30:B30"/>
    <mergeCell ref="C30:D30"/>
    <mergeCell ref="E30:H30"/>
    <mergeCell ref="I30:K30"/>
    <mergeCell ref="L30:N30"/>
    <mergeCell ref="O30:Q30"/>
    <mergeCell ref="R30:T30"/>
    <mergeCell ref="U30:W30"/>
    <mergeCell ref="AD29:AE29"/>
    <mergeCell ref="AF29:AG29"/>
    <mergeCell ref="AH29:AI29"/>
    <mergeCell ref="AJ29:AK29"/>
    <mergeCell ref="AL29:AM29"/>
    <mergeCell ref="AN29:AP29"/>
    <mergeCell ref="O29:Q29"/>
    <mergeCell ref="R29:T29"/>
    <mergeCell ref="U29:W29"/>
    <mergeCell ref="X29:Y29"/>
    <mergeCell ref="Z29:AA29"/>
    <mergeCell ref="AB29:AC29"/>
    <mergeCell ref="AJ28:AK28"/>
    <mergeCell ref="AL28:AM28"/>
    <mergeCell ref="AN28:AP28"/>
    <mergeCell ref="AQ28:AR28"/>
    <mergeCell ref="AS28:AT28"/>
    <mergeCell ref="A29:B29"/>
    <mergeCell ref="C29:D29"/>
    <mergeCell ref="E29:H29"/>
    <mergeCell ref="I29:K29"/>
    <mergeCell ref="L29:N29"/>
    <mergeCell ref="X28:Y28"/>
    <mergeCell ref="Z28:AA28"/>
    <mergeCell ref="AB28:AC28"/>
    <mergeCell ref="AD28:AE28"/>
    <mergeCell ref="AF28:AG28"/>
    <mergeCell ref="AH28:AI28"/>
    <mergeCell ref="AQ27:AR27"/>
    <mergeCell ref="AS27:AT27"/>
    <mergeCell ref="A28:B28"/>
    <mergeCell ref="C28:D28"/>
    <mergeCell ref="E28:H28"/>
    <mergeCell ref="I28:K28"/>
    <mergeCell ref="L28:N28"/>
    <mergeCell ref="O28:Q28"/>
    <mergeCell ref="R28:T28"/>
    <mergeCell ref="U28:W28"/>
    <mergeCell ref="AD27:AE27"/>
    <mergeCell ref="AF27:AG27"/>
    <mergeCell ref="AH27:AI27"/>
    <mergeCell ref="AJ27:AK27"/>
    <mergeCell ref="AL27:AM27"/>
    <mergeCell ref="AN27:AP27"/>
    <mergeCell ref="O27:Q27"/>
    <mergeCell ref="R27:T27"/>
    <mergeCell ref="U27:W27"/>
    <mergeCell ref="X27:Y27"/>
    <mergeCell ref="Z27:AA27"/>
    <mergeCell ref="AB27:AC27"/>
    <mergeCell ref="AJ26:AK26"/>
    <mergeCell ref="AL26:AM26"/>
    <mergeCell ref="AN26:AP26"/>
    <mergeCell ref="AQ26:AR26"/>
    <mergeCell ref="AS26:AT26"/>
    <mergeCell ref="A27:B27"/>
    <mergeCell ref="C27:D27"/>
    <mergeCell ref="E27:H27"/>
    <mergeCell ref="I27:K27"/>
    <mergeCell ref="L27:N27"/>
    <mergeCell ref="X26:Y26"/>
    <mergeCell ref="Z26:AA26"/>
    <mergeCell ref="AB26:AC26"/>
    <mergeCell ref="AD26:AE26"/>
    <mergeCell ref="AF26:AG26"/>
    <mergeCell ref="AH26:AI26"/>
    <mergeCell ref="AQ25:AR25"/>
    <mergeCell ref="AS25:AT25"/>
    <mergeCell ref="A26:B26"/>
    <mergeCell ref="C26:D26"/>
    <mergeCell ref="E26:H26"/>
    <mergeCell ref="I26:K26"/>
    <mergeCell ref="L26:N26"/>
    <mergeCell ref="O26:Q26"/>
    <mergeCell ref="R26:T26"/>
    <mergeCell ref="U26:W26"/>
    <mergeCell ref="AD25:AE25"/>
    <mergeCell ref="AF25:AG25"/>
    <mergeCell ref="AH25:AI25"/>
    <mergeCell ref="AJ25:AK25"/>
    <mergeCell ref="AL25:AM25"/>
    <mergeCell ref="AN25:AP25"/>
    <mergeCell ref="O25:Q25"/>
    <mergeCell ref="R25:T25"/>
    <mergeCell ref="U25:W25"/>
    <mergeCell ref="X25:Y25"/>
    <mergeCell ref="Z25:AA25"/>
    <mergeCell ref="AB25:AC25"/>
    <mergeCell ref="AJ24:AK24"/>
    <mergeCell ref="AL24:AM24"/>
    <mergeCell ref="AN24:AP24"/>
    <mergeCell ref="AQ24:AR24"/>
    <mergeCell ref="AS24:AT24"/>
    <mergeCell ref="A25:B25"/>
    <mergeCell ref="C25:D25"/>
    <mergeCell ref="E25:H25"/>
    <mergeCell ref="I25:K25"/>
    <mergeCell ref="L25:N25"/>
    <mergeCell ref="X24:Y24"/>
    <mergeCell ref="Z24:AA24"/>
    <mergeCell ref="AB24:AC24"/>
    <mergeCell ref="AD24:AE24"/>
    <mergeCell ref="AF24:AG24"/>
    <mergeCell ref="AH24:AI24"/>
    <mergeCell ref="AQ23:AR23"/>
    <mergeCell ref="AS23:AT23"/>
    <mergeCell ref="A24:B24"/>
    <mergeCell ref="C24:D24"/>
    <mergeCell ref="E24:H24"/>
    <mergeCell ref="I24:K24"/>
    <mergeCell ref="L24:N24"/>
    <mergeCell ref="O24:Q24"/>
    <mergeCell ref="R24:T24"/>
    <mergeCell ref="U24:W24"/>
    <mergeCell ref="AD23:AE23"/>
    <mergeCell ref="AF23:AG23"/>
    <mergeCell ref="AH23:AI23"/>
    <mergeCell ref="AJ23:AK23"/>
    <mergeCell ref="AL23:AM23"/>
    <mergeCell ref="AN23:AP23"/>
    <mergeCell ref="O23:Q23"/>
    <mergeCell ref="R23:T23"/>
    <mergeCell ref="U23:W23"/>
    <mergeCell ref="X23:Y23"/>
    <mergeCell ref="Z23:AA23"/>
    <mergeCell ref="AB23:AC23"/>
    <mergeCell ref="AJ22:AK22"/>
    <mergeCell ref="AL22:AM22"/>
    <mergeCell ref="AN22:AP22"/>
    <mergeCell ref="AQ22:AR22"/>
    <mergeCell ref="AS22:AT22"/>
    <mergeCell ref="A23:B23"/>
    <mergeCell ref="C23:D23"/>
    <mergeCell ref="E23:H23"/>
    <mergeCell ref="I23:K23"/>
    <mergeCell ref="L23:N23"/>
    <mergeCell ref="X22:Y22"/>
    <mergeCell ref="Z22:AA22"/>
    <mergeCell ref="AB22:AC22"/>
    <mergeCell ref="AD22:AE22"/>
    <mergeCell ref="AF22:AG22"/>
    <mergeCell ref="AH22:AI22"/>
    <mergeCell ref="AQ21:AR21"/>
    <mergeCell ref="AS21:AT21"/>
    <mergeCell ref="A22:B22"/>
    <mergeCell ref="C22:D22"/>
    <mergeCell ref="E22:H22"/>
    <mergeCell ref="I22:K22"/>
    <mergeCell ref="L22:N22"/>
    <mergeCell ref="O22:Q22"/>
    <mergeCell ref="R22:T22"/>
    <mergeCell ref="U22:W22"/>
    <mergeCell ref="AD21:AE21"/>
    <mergeCell ref="AF21:AG21"/>
    <mergeCell ref="AH21:AI21"/>
    <mergeCell ref="AJ21:AK21"/>
    <mergeCell ref="AL21:AM21"/>
    <mergeCell ref="AN21:AP21"/>
    <mergeCell ref="O21:Q21"/>
    <mergeCell ref="R21:T21"/>
    <mergeCell ref="U21:W21"/>
    <mergeCell ref="X21:Y21"/>
    <mergeCell ref="Z21:AA21"/>
    <mergeCell ref="AB21:AC21"/>
    <mergeCell ref="AJ20:AK20"/>
    <mergeCell ref="AL20:AM20"/>
    <mergeCell ref="AN20:AP20"/>
    <mergeCell ref="AQ20:AR20"/>
    <mergeCell ref="AS20:AT20"/>
    <mergeCell ref="A21:B21"/>
    <mergeCell ref="C21:D21"/>
    <mergeCell ref="E21:H21"/>
    <mergeCell ref="I21:K21"/>
    <mergeCell ref="L21:N21"/>
    <mergeCell ref="X20:Y20"/>
    <mergeCell ref="Z20:AA20"/>
    <mergeCell ref="AB20:AC20"/>
    <mergeCell ref="AD20:AE20"/>
    <mergeCell ref="AF20:AG20"/>
    <mergeCell ref="AH20:AI20"/>
    <mergeCell ref="AQ19:AR19"/>
    <mergeCell ref="AS19:AT19"/>
    <mergeCell ref="A20:B20"/>
    <mergeCell ref="C20:D20"/>
    <mergeCell ref="E20:H20"/>
    <mergeCell ref="I20:K20"/>
    <mergeCell ref="L20:N20"/>
    <mergeCell ref="O20:Q20"/>
    <mergeCell ref="R20:T20"/>
    <mergeCell ref="U20:W20"/>
    <mergeCell ref="AD19:AE19"/>
    <mergeCell ref="AF19:AG19"/>
    <mergeCell ref="AH19:AI19"/>
    <mergeCell ref="AJ19:AK19"/>
    <mergeCell ref="AL19:AM19"/>
    <mergeCell ref="AN19:AP19"/>
    <mergeCell ref="O19:Q19"/>
    <mergeCell ref="R19:T19"/>
    <mergeCell ref="U19:W19"/>
    <mergeCell ref="X19:Y19"/>
    <mergeCell ref="Z19:AA19"/>
    <mergeCell ref="AB19:AC19"/>
    <mergeCell ref="AJ18:AK18"/>
    <mergeCell ref="AL18:AM18"/>
    <mergeCell ref="AN18:AP18"/>
    <mergeCell ref="AQ18:AR18"/>
    <mergeCell ref="AS18:AT18"/>
    <mergeCell ref="A19:B19"/>
    <mergeCell ref="C19:D19"/>
    <mergeCell ref="E19:H19"/>
    <mergeCell ref="I19:K19"/>
    <mergeCell ref="L19:N19"/>
    <mergeCell ref="X18:Y18"/>
    <mergeCell ref="Z18:AA18"/>
    <mergeCell ref="AB18:AC18"/>
    <mergeCell ref="AD18:AE18"/>
    <mergeCell ref="AF18:AG18"/>
    <mergeCell ref="AH18:AI18"/>
    <mergeCell ref="AQ17:AR17"/>
    <mergeCell ref="AS17:AT17"/>
    <mergeCell ref="A18:B18"/>
    <mergeCell ref="C18:D18"/>
    <mergeCell ref="E18:H18"/>
    <mergeCell ref="I18:K18"/>
    <mergeCell ref="L18:N18"/>
    <mergeCell ref="O18:Q18"/>
    <mergeCell ref="R18:T18"/>
    <mergeCell ref="U18:W18"/>
    <mergeCell ref="AD17:AE17"/>
    <mergeCell ref="AF17:AG17"/>
    <mergeCell ref="AH17:AI17"/>
    <mergeCell ref="AJ17:AK17"/>
    <mergeCell ref="AL17:AM17"/>
    <mergeCell ref="AN17:AP17"/>
    <mergeCell ref="O17:Q17"/>
    <mergeCell ref="R17:T17"/>
    <mergeCell ref="U17:W17"/>
    <mergeCell ref="X17:Y17"/>
    <mergeCell ref="Z17:AA17"/>
    <mergeCell ref="AB17:AC17"/>
    <mergeCell ref="AJ16:AK16"/>
    <mergeCell ref="AL16:AM16"/>
    <mergeCell ref="AN16:AP16"/>
    <mergeCell ref="AQ16:AR16"/>
    <mergeCell ref="AS16:AT16"/>
    <mergeCell ref="A17:B17"/>
    <mergeCell ref="C17:D17"/>
    <mergeCell ref="E17:H17"/>
    <mergeCell ref="I17:K17"/>
    <mergeCell ref="L17:N17"/>
    <mergeCell ref="X16:Y16"/>
    <mergeCell ref="Z16:AA16"/>
    <mergeCell ref="AB16:AC16"/>
    <mergeCell ref="AD16:AE16"/>
    <mergeCell ref="AF16:AG16"/>
    <mergeCell ref="AH16:AI16"/>
    <mergeCell ref="AQ15:AR15"/>
    <mergeCell ref="AS15:AT15"/>
    <mergeCell ref="A16:B16"/>
    <mergeCell ref="C16:D16"/>
    <mergeCell ref="E16:H16"/>
    <mergeCell ref="I16:K16"/>
    <mergeCell ref="L16:N16"/>
    <mergeCell ref="O16:Q16"/>
    <mergeCell ref="R16:T16"/>
    <mergeCell ref="U16:W16"/>
    <mergeCell ref="AD15:AE15"/>
    <mergeCell ref="AF15:AG15"/>
    <mergeCell ref="AH15:AI15"/>
    <mergeCell ref="AJ15:AK15"/>
    <mergeCell ref="AL15:AM15"/>
    <mergeCell ref="AN15:AP15"/>
    <mergeCell ref="O15:Q15"/>
    <mergeCell ref="R15:T15"/>
    <mergeCell ref="U15:W15"/>
    <mergeCell ref="X15:Y15"/>
    <mergeCell ref="Z15:AA15"/>
    <mergeCell ref="AB15:AC15"/>
    <mergeCell ref="AJ14:AK14"/>
    <mergeCell ref="AL14:AM14"/>
    <mergeCell ref="AN14:AP14"/>
    <mergeCell ref="AQ14:AR14"/>
    <mergeCell ref="AS14:AT14"/>
    <mergeCell ref="A15:B15"/>
    <mergeCell ref="C15:D15"/>
    <mergeCell ref="E15:H15"/>
    <mergeCell ref="I15:K15"/>
    <mergeCell ref="L15:N15"/>
    <mergeCell ref="X14:Y14"/>
    <mergeCell ref="Z14:AA14"/>
    <mergeCell ref="AB14:AC14"/>
    <mergeCell ref="AD14:AE14"/>
    <mergeCell ref="AF14:AG14"/>
    <mergeCell ref="AH14:AI14"/>
    <mergeCell ref="AQ13:AR13"/>
    <mergeCell ref="AS13:AT13"/>
    <mergeCell ref="A14:B14"/>
    <mergeCell ref="C14:D14"/>
    <mergeCell ref="E14:H14"/>
    <mergeCell ref="I14:K14"/>
    <mergeCell ref="L14:N14"/>
    <mergeCell ref="O14:Q14"/>
    <mergeCell ref="R14:T14"/>
    <mergeCell ref="U14:W14"/>
    <mergeCell ref="AD13:AE13"/>
    <mergeCell ref="AF13:AG13"/>
    <mergeCell ref="AH13:AI13"/>
    <mergeCell ref="AJ13:AK13"/>
    <mergeCell ref="AL13:AM13"/>
    <mergeCell ref="AN13:AP13"/>
    <mergeCell ref="O13:Q13"/>
    <mergeCell ref="R13:T13"/>
    <mergeCell ref="U13:W13"/>
    <mergeCell ref="X13:Y13"/>
    <mergeCell ref="Z13:AA13"/>
    <mergeCell ref="AB13:AC13"/>
    <mergeCell ref="AJ11:AK12"/>
    <mergeCell ref="AL11:AM12"/>
    <mergeCell ref="AD12:AE12"/>
    <mergeCell ref="AQ12:AR12"/>
    <mergeCell ref="AS12:AT12"/>
    <mergeCell ref="A13:B13"/>
    <mergeCell ref="C13:D13"/>
    <mergeCell ref="E13:H13"/>
    <mergeCell ref="I13:K13"/>
    <mergeCell ref="L13:N13"/>
    <mergeCell ref="AN10:AP12"/>
    <mergeCell ref="AQ10:AR11"/>
    <mergeCell ref="AS10:AT11"/>
    <mergeCell ref="I11:K12"/>
    <mergeCell ref="L11:N12"/>
    <mergeCell ref="O11:Q12"/>
    <mergeCell ref="R11:T12"/>
    <mergeCell ref="U11:W12"/>
    <mergeCell ref="X11:Y12"/>
    <mergeCell ref="Z11:AA12"/>
    <mergeCell ref="A10:B12"/>
    <mergeCell ref="C10:D12"/>
    <mergeCell ref="E10:H12"/>
    <mergeCell ref="I10:N10"/>
    <mergeCell ref="O10:W10"/>
    <mergeCell ref="X10:AM10"/>
    <mergeCell ref="AB11:AC12"/>
    <mergeCell ref="AD11:AE11"/>
    <mergeCell ref="AF11:AG12"/>
    <mergeCell ref="AH11:AI12"/>
    <mergeCell ref="AK7:AO7"/>
    <mergeCell ref="AP7:AT7"/>
    <mergeCell ref="A8:G8"/>
    <mergeCell ref="H8:N8"/>
    <mergeCell ref="O8:U8"/>
    <mergeCell ref="V8:Z8"/>
    <mergeCell ref="AA8:AE8"/>
    <mergeCell ref="AF8:AJ8"/>
    <mergeCell ref="AK8:AO8"/>
    <mergeCell ref="AP8:AT8"/>
    <mergeCell ref="A7:G7"/>
    <mergeCell ref="H7:N7"/>
    <mergeCell ref="O7:U7"/>
    <mergeCell ref="V7:Z7"/>
    <mergeCell ref="AA7:AE7"/>
    <mergeCell ref="AF7:AJ7"/>
    <mergeCell ref="A6:H6"/>
    <mergeCell ref="I6:P6"/>
    <mergeCell ref="Q6:X6"/>
    <mergeCell ref="Y6:AF6"/>
    <mergeCell ref="AG6:AN6"/>
    <mergeCell ref="AO6:AT6"/>
    <mergeCell ref="W3:Z3"/>
    <mergeCell ref="AA3:AP3"/>
    <mergeCell ref="A5:H5"/>
    <mergeCell ref="I5:P5"/>
    <mergeCell ref="Q5:X5"/>
    <mergeCell ref="Y5:AF5"/>
    <mergeCell ref="AG5:AN5"/>
    <mergeCell ref="AO5:AT5"/>
    <mergeCell ref="A1:B1"/>
    <mergeCell ref="D1:E1"/>
    <mergeCell ref="A3:C3"/>
    <mergeCell ref="D3:F3"/>
    <mergeCell ref="G3:I3"/>
    <mergeCell ref="J3:V3"/>
  </mergeCells>
  <phoneticPr fontId="4"/>
  <conditionalFormatting sqref="A13:D43">
    <cfRule type="expression" dxfId="8" priority="2" stopIfTrue="1">
      <formula>WEEKDAY(A13)=1</formula>
    </cfRule>
    <cfRule type="expression" dxfId="7" priority="3" stopIfTrue="1">
      <formula>WEEKDAY(A13)=7</formula>
    </cfRule>
  </conditionalFormatting>
  <conditionalFormatting sqref="E13:W43">
    <cfRule type="expression" dxfId="6" priority="1">
      <formula>$E13="休日"</formula>
    </cfRule>
  </conditionalFormatting>
  <dataValidations count="3">
    <dataValidation imeMode="on" allowBlank="1" showInputMessage="1" showErrorMessage="1" sqref="AA3 J3" xr:uid="{20A3596E-63EB-46FD-9967-0703B9358B30}"/>
    <dataValidation imeMode="off" allowBlank="1" showInputMessage="1" showErrorMessage="1" sqref="D1:E1 D3:F3 I1 A1:B1 AW12:AW65536 I13:N351" xr:uid="{95F9D50C-17A4-482A-80F0-665C30555C76}"/>
    <dataValidation type="list" allowBlank="1" showInputMessage="1" showErrorMessage="1" sqref="E13:H43" xr:uid="{B290998D-0D08-4B3B-A11C-8124122AFBF8}">
      <formula1>$AV$14:$AV$23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95CC-C181-4CE6-978D-E0B82A6BBB4D}">
  <dimension ref="A1:AW364"/>
  <sheetViews>
    <sheetView workbookViewId="0">
      <selection activeCell="I16" sqref="I16:K16"/>
    </sheetView>
  </sheetViews>
  <sheetFormatPr defaultColWidth="3" defaultRowHeight="12"/>
  <cols>
    <col min="1" max="47" width="3" style="25"/>
    <col min="48" max="48" width="18.375" style="25" customWidth="1"/>
    <col min="49" max="49" width="5.875" style="38" bestFit="1" customWidth="1"/>
    <col min="50" max="50" width="3" style="25"/>
    <col min="51" max="51" width="5.375" style="25" bestFit="1" customWidth="1"/>
    <col min="52" max="16384" width="3" style="25"/>
  </cols>
  <sheetData>
    <row r="1" spans="1:49" ht="18" customHeight="1" thickBot="1">
      <c r="A1" s="22">
        <v>2024</v>
      </c>
      <c r="B1" s="22"/>
      <c r="C1" s="23" t="s">
        <v>27</v>
      </c>
      <c r="D1" s="24">
        <v>1</v>
      </c>
      <c r="E1" s="24"/>
      <c r="F1" s="23" t="s">
        <v>28</v>
      </c>
      <c r="I1" s="26"/>
      <c r="AW1" s="25"/>
    </row>
    <row r="2" spans="1:49" ht="18" customHeight="1" thickTop="1">
      <c r="AW2" s="25"/>
    </row>
    <row r="3" spans="1:49" ht="18" customHeight="1">
      <c r="A3" s="27" t="s">
        <v>29</v>
      </c>
      <c r="B3" s="28"/>
      <c r="C3" s="29"/>
      <c r="D3" s="30"/>
      <c r="E3" s="31"/>
      <c r="F3" s="32"/>
      <c r="G3" s="27" t="s">
        <v>30</v>
      </c>
      <c r="H3" s="28"/>
      <c r="I3" s="29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4" t="s">
        <v>31</v>
      </c>
      <c r="X3" s="34"/>
      <c r="Y3" s="34"/>
      <c r="Z3" s="34"/>
      <c r="AA3" s="35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</row>
    <row r="4" spans="1:49" ht="18" customHeight="1">
      <c r="AW4" s="25"/>
    </row>
    <row r="5" spans="1:49" ht="18" customHeight="1">
      <c r="A5" s="34" t="s">
        <v>32</v>
      </c>
      <c r="B5" s="34"/>
      <c r="C5" s="34"/>
      <c r="D5" s="34"/>
      <c r="E5" s="34"/>
      <c r="F5" s="34"/>
      <c r="G5" s="34"/>
      <c r="H5" s="34"/>
      <c r="I5" s="34" t="s">
        <v>33</v>
      </c>
      <c r="J5" s="34"/>
      <c r="K5" s="34"/>
      <c r="L5" s="34"/>
      <c r="M5" s="34"/>
      <c r="N5" s="34"/>
      <c r="O5" s="34"/>
      <c r="P5" s="34"/>
      <c r="Q5" s="34" t="s">
        <v>34</v>
      </c>
      <c r="R5" s="34"/>
      <c r="S5" s="34"/>
      <c r="T5" s="34"/>
      <c r="U5" s="34"/>
      <c r="V5" s="34"/>
      <c r="W5" s="34"/>
      <c r="X5" s="34"/>
      <c r="Y5" s="34" t="s">
        <v>35</v>
      </c>
      <c r="Z5" s="34"/>
      <c r="AA5" s="34"/>
      <c r="AB5" s="34"/>
      <c r="AC5" s="34"/>
      <c r="AD5" s="34"/>
      <c r="AE5" s="34"/>
      <c r="AF5" s="34"/>
      <c r="AG5" s="27" t="s">
        <v>36</v>
      </c>
      <c r="AH5" s="28"/>
      <c r="AI5" s="28"/>
      <c r="AJ5" s="28"/>
      <c r="AK5" s="28"/>
      <c r="AL5" s="28"/>
      <c r="AM5" s="28"/>
      <c r="AN5" s="29"/>
      <c r="AO5" s="34" t="s">
        <v>37</v>
      </c>
      <c r="AP5" s="34"/>
      <c r="AQ5" s="34"/>
      <c r="AR5" s="34"/>
      <c r="AS5" s="34"/>
      <c r="AT5" s="34"/>
      <c r="AU5" s="26"/>
      <c r="AV5" s="26"/>
    </row>
    <row r="6" spans="1:49" ht="18" customHeight="1">
      <c r="A6" s="39">
        <f>COUNTIF($E$13:$H$43,"出勤")+COUNTIF($E$13:$H$43,"休業（時間）")</f>
        <v>21</v>
      </c>
      <c r="B6" s="39"/>
      <c r="C6" s="39"/>
      <c r="D6" s="39"/>
      <c r="E6" s="39"/>
      <c r="F6" s="39"/>
      <c r="G6" s="39"/>
      <c r="H6" s="39"/>
      <c r="I6" s="39">
        <f>COUNTIF($E$13:$H$43,"休日")</f>
        <v>10</v>
      </c>
      <c r="J6" s="39"/>
      <c r="K6" s="39"/>
      <c r="L6" s="39"/>
      <c r="M6" s="39"/>
      <c r="N6" s="39"/>
      <c r="O6" s="39"/>
      <c r="P6" s="39"/>
      <c r="Q6" s="39">
        <f>COUNTIF($E$13:$H$43,"有給")</f>
        <v>0</v>
      </c>
      <c r="R6" s="39"/>
      <c r="S6" s="39"/>
      <c r="T6" s="39"/>
      <c r="U6" s="39"/>
      <c r="V6" s="39"/>
      <c r="W6" s="39"/>
      <c r="X6" s="39"/>
      <c r="Y6" s="39">
        <f>COUNTIF($E$13:$H$43,"振休")</f>
        <v>0</v>
      </c>
      <c r="Z6" s="39"/>
      <c r="AA6" s="39"/>
      <c r="AB6" s="39"/>
      <c r="AC6" s="39"/>
      <c r="AD6" s="39"/>
      <c r="AE6" s="39"/>
      <c r="AF6" s="39"/>
      <c r="AG6" s="40">
        <f>COUNTIF($E$13:$H$43,"欠勤")</f>
        <v>0</v>
      </c>
      <c r="AH6" s="41"/>
      <c r="AI6" s="41"/>
      <c r="AJ6" s="41"/>
      <c r="AK6" s="41"/>
      <c r="AL6" s="41"/>
      <c r="AM6" s="41"/>
      <c r="AN6" s="42"/>
      <c r="AO6" s="39">
        <f>COUNTIF($E$13:$H$43,"休業")</f>
        <v>0</v>
      </c>
      <c r="AP6" s="39"/>
      <c r="AQ6" s="39"/>
      <c r="AR6" s="39"/>
      <c r="AS6" s="39"/>
      <c r="AT6" s="39"/>
    </row>
    <row r="7" spans="1:49" ht="18" customHeight="1">
      <c r="A7" s="27" t="s">
        <v>38</v>
      </c>
      <c r="B7" s="28"/>
      <c r="C7" s="28"/>
      <c r="D7" s="28"/>
      <c r="E7" s="28"/>
      <c r="F7" s="28"/>
      <c r="G7" s="28"/>
      <c r="H7" s="34" t="s">
        <v>39</v>
      </c>
      <c r="I7" s="34"/>
      <c r="J7" s="34"/>
      <c r="K7" s="34"/>
      <c r="L7" s="34"/>
      <c r="M7" s="34"/>
      <c r="N7" s="34"/>
      <c r="O7" s="27" t="s">
        <v>40</v>
      </c>
      <c r="P7" s="28"/>
      <c r="Q7" s="28"/>
      <c r="R7" s="28"/>
      <c r="S7" s="28"/>
      <c r="T7" s="28"/>
      <c r="U7" s="29"/>
      <c r="V7" s="34" t="s">
        <v>41</v>
      </c>
      <c r="W7" s="34"/>
      <c r="X7" s="34"/>
      <c r="Y7" s="34"/>
      <c r="Z7" s="34"/>
      <c r="AA7" s="34" t="s">
        <v>42</v>
      </c>
      <c r="AB7" s="34"/>
      <c r="AC7" s="34"/>
      <c r="AD7" s="34"/>
      <c r="AE7" s="34"/>
      <c r="AF7" s="34" t="s">
        <v>43</v>
      </c>
      <c r="AG7" s="34"/>
      <c r="AH7" s="34"/>
      <c r="AI7" s="34"/>
      <c r="AJ7" s="34"/>
      <c r="AK7" s="34" t="s">
        <v>44</v>
      </c>
      <c r="AL7" s="34"/>
      <c r="AM7" s="34"/>
      <c r="AN7" s="34"/>
      <c r="AO7" s="34"/>
      <c r="AP7" s="27" t="s">
        <v>45</v>
      </c>
      <c r="AQ7" s="28"/>
      <c r="AR7" s="28"/>
      <c r="AS7" s="28"/>
      <c r="AT7" s="29"/>
    </row>
    <row r="8" spans="1:49" ht="18" customHeight="1">
      <c r="A8" s="43">
        <f>SUM(AN13:AP43)</f>
        <v>0.33333333333333337</v>
      </c>
      <c r="B8" s="44"/>
      <c r="C8" s="44"/>
      <c r="D8" s="44"/>
      <c r="E8" s="44"/>
      <c r="F8" s="44"/>
      <c r="G8" s="44"/>
      <c r="H8" s="43">
        <f>SUM(AN13:AP43)-AS12-AQ12</f>
        <v>0.33333333333333337</v>
      </c>
      <c r="I8" s="44"/>
      <c r="J8" s="44"/>
      <c r="K8" s="44"/>
      <c r="L8" s="44"/>
      <c r="M8" s="44"/>
      <c r="N8" s="44"/>
      <c r="O8" s="43">
        <f>(SUM(R13:T43))-(SUM(O13:Q43))-(SUM(U13:W43))</f>
        <v>0.33333333333333337</v>
      </c>
      <c r="P8" s="44"/>
      <c r="Q8" s="44"/>
      <c r="R8" s="44"/>
      <c r="S8" s="44"/>
      <c r="T8" s="44"/>
      <c r="U8" s="45"/>
      <c r="V8" s="46">
        <f>(SUM(Z13:AC43))-(MAX((SUM(AL13:AM43)),0))</f>
        <v>0</v>
      </c>
      <c r="W8" s="47"/>
      <c r="X8" s="47"/>
      <c r="Y8" s="47"/>
      <c r="Z8" s="47"/>
      <c r="AA8" s="47">
        <f>SUM(AD13:AE43)</f>
        <v>0</v>
      </c>
      <c r="AB8" s="47"/>
      <c r="AC8" s="47"/>
      <c r="AD8" s="47"/>
      <c r="AE8" s="47"/>
      <c r="AF8" s="47">
        <f>SUM(AF13:AG43)</f>
        <v>0</v>
      </c>
      <c r="AG8" s="47"/>
      <c r="AH8" s="47"/>
      <c r="AI8" s="47"/>
      <c r="AJ8" s="47"/>
      <c r="AK8" s="47">
        <f>SUM(AH13:AI43)</f>
        <v>0</v>
      </c>
      <c r="AL8" s="47"/>
      <c r="AM8" s="47"/>
      <c r="AN8" s="47"/>
      <c r="AO8" s="47"/>
      <c r="AP8" s="43">
        <f>SUM(AJ13:AK43)</f>
        <v>0</v>
      </c>
      <c r="AQ8" s="44"/>
      <c r="AR8" s="44"/>
      <c r="AS8" s="44"/>
      <c r="AT8" s="45"/>
    </row>
    <row r="9" spans="1:49" ht="18" customHeight="1">
      <c r="AW9" s="25"/>
    </row>
    <row r="10" spans="1:49" ht="18" customHeight="1">
      <c r="A10" s="34" t="s">
        <v>46</v>
      </c>
      <c r="B10" s="34"/>
      <c r="C10" s="34" t="s">
        <v>47</v>
      </c>
      <c r="D10" s="34"/>
      <c r="E10" s="34" t="s">
        <v>48</v>
      </c>
      <c r="F10" s="34"/>
      <c r="G10" s="34"/>
      <c r="H10" s="34"/>
      <c r="I10" s="34" t="s">
        <v>49</v>
      </c>
      <c r="J10" s="34"/>
      <c r="K10" s="34"/>
      <c r="L10" s="34"/>
      <c r="M10" s="34"/>
      <c r="N10" s="34"/>
      <c r="O10" s="27" t="s">
        <v>40</v>
      </c>
      <c r="P10" s="28"/>
      <c r="Q10" s="28"/>
      <c r="R10" s="28"/>
      <c r="S10" s="28"/>
      <c r="T10" s="28"/>
      <c r="U10" s="28"/>
      <c r="V10" s="28"/>
      <c r="W10" s="29"/>
      <c r="X10" s="48" t="s">
        <v>39</v>
      </c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50"/>
      <c r="AN10" s="51" t="s">
        <v>50</v>
      </c>
      <c r="AO10" s="52"/>
      <c r="AP10" s="53"/>
      <c r="AQ10" s="54" t="s">
        <v>51</v>
      </c>
      <c r="AR10" s="55"/>
      <c r="AS10" s="54" t="s">
        <v>52</v>
      </c>
      <c r="AT10" s="55"/>
      <c r="AW10" s="25"/>
    </row>
    <row r="11" spans="1:49" ht="18" customHeight="1">
      <c r="A11" s="34"/>
      <c r="B11" s="34"/>
      <c r="C11" s="34"/>
      <c r="D11" s="34"/>
      <c r="E11" s="34"/>
      <c r="F11" s="34"/>
      <c r="G11" s="34"/>
      <c r="H11" s="34"/>
      <c r="I11" s="34" t="s">
        <v>53</v>
      </c>
      <c r="J11" s="34"/>
      <c r="K11" s="34"/>
      <c r="L11" s="34" t="s">
        <v>54</v>
      </c>
      <c r="M11" s="34"/>
      <c r="N11" s="34"/>
      <c r="O11" s="34" t="s">
        <v>55</v>
      </c>
      <c r="P11" s="34"/>
      <c r="Q11" s="34"/>
      <c r="R11" s="34" t="s">
        <v>56</v>
      </c>
      <c r="S11" s="34"/>
      <c r="T11" s="34"/>
      <c r="U11" s="51" t="s">
        <v>57</v>
      </c>
      <c r="V11" s="52"/>
      <c r="W11" s="53"/>
      <c r="X11" s="51" t="s">
        <v>58</v>
      </c>
      <c r="Y11" s="53"/>
      <c r="Z11" s="51" t="s">
        <v>59</v>
      </c>
      <c r="AA11" s="53"/>
      <c r="AB11" s="52" t="s">
        <v>60</v>
      </c>
      <c r="AC11" s="53"/>
      <c r="AD11" s="56" t="s">
        <v>61</v>
      </c>
      <c r="AE11" s="57"/>
      <c r="AF11" s="51" t="s">
        <v>62</v>
      </c>
      <c r="AG11" s="52"/>
      <c r="AH11" s="51" t="s">
        <v>63</v>
      </c>
      <c r="AI11" s="52"/>
      <c r="AJ11" s="58" t="s">
        <v>64</v>
      </c>
      <c r="AK11" s="59"/>
      <c r="AL11" s="58" t="s">
        <v>65</v>
      </c>
      <c r="AM11" s="59"/>
      <c r="AN11" s="60"/>
      <c r="AO11" s="61"/>
      <c r="AP11" s="62"/>
      <c r="AQ11" s="63"/>
      <c r="AR11" s="64"/>
      <c r="AS11" s="63"/>
      <c r="AT11" s="64"/>
      <c r="AW11" s="25"/>
    </row>
    <row r="12" spans="1:49" ht="18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65"/>
      <c r="V12" s="66"/>
      <c r="W12" s="67"/>
      <c r="X12" s="65"/>
      <c r="Y12" s="67"/>
      <c r="Z12" s="65"/>
      <c r="AA12" s="67"/>
      <c r="AB12" s="66"/>
      <c r="AC12" s="67"/>
      <c r="AD12" s="68" t="s">
        <v>66</v>
      </c>
      <c r="AE12" s="69"/>
      <c r="AF12" s="60"/>
      <c r="AG12" s="61"/>
      <c r="AH12" s="60"/>
      <c r="AI12" s="61"/>
      <c r="AJ12" s="70"/>
      <c r="AK12" s="71"/>
      <c r="AL12" s="70"/>
      <c r="AM12" s="71"/>
      <c r="AN12" s="65"/>
      <c r="AO12" s="66"/>
      <c r="AP12" s="67"/>
      <c r="AQ12" s="72">
        <f>SUM(AQ13:AQ43)</f>
        <v>0</v>
      </c>
      <c r="AR12" s="73"/>
      <c r="AS12" s="72">
        <f>SUM(AS13:AS43)</f>
        <v>0</v>
      </c>
      <c r="AT12" s="73"/>
    </row>
    <row r="13" spans="1:49" ht="18" customHeight="1">
      <c r="A13" s="74">
        <f>DATE(A1,D1-1,21)</f>
        <v>45281</v>
      </c>
      <c r="B13" s="74"/>
      <c r="C13" s="75">
        <f>A13</f>
        <v>45281</v>
      </c>
      <c r="D13" s="76"/>
      <c r="E13" s="77" t="s">
        <v>67</v>
      </c>
      <c r="F13" s="77"/>
      <c r="G13" s="77"/>
      <c r="H13" s="77"/>
      <c r="I13" s="78">
        <v>0.33333333333333331</v>
      </c>
      <c r="J13" s="79"/>
      <c r="K13" s="80"/>
      <c r="L13" s="78">
        <v>0.70833333333333337</v>
      </c>
      <c r="M13" s="79"/>
      <c r="N13" s="80"/>
      <c r="O13" s="91">
        <v>0.33333333333333331</v>
      </c>
      <c r="P13" s="92"/>
      <c r="Q13" s="93"/>
      <c r="R13" s="91">
        <v>0.70833333333333337</v>
      </c>
      <c r="S13" s="92"/>
      <c r="T13" s="93"/>
      <c r="U13" s="91">
        <v>4.1666666666666664E-2</v>
      </c>
      <c r="V13" s="92"/>
      <c r="W13" s="93"/>
      <c r="X13" s="43">
        <f>R13-O13-U13</f>
        <v>0.33333333333333337</v>
      </c>
      <c r="Y13" s="45"/>
      <c r="Z13" s="81">
        <f>IF(E13="有給",0,(IF(E13="休業",0,(IF(E13="振休",0,(IF(E13="欠勤",0,(FLOOR((IF(O13-I13&lt;0,0,(VALUE(TEXT(O13-I13,"[h]:mm"))))),"00:01")))))))))</f>
        <v>0</v>
      </c>
      <c r="AA13" s="81"/>
      <c r="AB13" s="82">
        <f t="shared" ref="AB13:AB43" si="0">IF(L13-R13&lt;0,0,(L13-(IF(O13="",I13,R13))))</f>
        <v>0</v>
      </c>
      <c r="AC13" s="81"/>
      <c r="AD13" s="82">
        <f t="shared" ref="AD13:AD43" si="1">"5:00"-MIN(I13,"5:00")+MAX((L13&lt;I13)+L13,"22:00")-"22:00"</f>
        <v>0</v>
      </c>
      <c r="AE13" s="81"/>
      <c r="AF13" s="82">
        <f>IF(E13="出勤",(((IF(R13-L13&lt;0,0,R13-L13)))),0)</f>
        <v>0</v>
      </c>
      <c r="AG13" s="81"/>
      <c r="AH13" s="82">
        <f>IF(E13="出勤",(((IF(I13-O13&lt;0,0,I13-O13)))),0)</f>
        <v>0</v>
      </c>
      <c r="AI13" s="81"/>
      <c r="AJ13" s="82">
        <f>IF(E13="休日",0,(IF(E13="休業（時間）",((FLOOR((IF(I13-O13&lt;0,0,I13-O13)),"00:01"))+(FLOOR((IF(R13-L13&lt;0,0,R13-L13)),"00:01"))),0)))</f>
        <v>0</v>
      </c>
      <c r="AK13" s="81"/>
      <c r="AL13" s="83"/>
      <c r="AM13" s="84"/>
      <c r="AN13" s="82">
        <f>IF(E13="振休",0,(IF(E13="欠勤",0,(X13+Z13+AB13-AF13-AH13-AL13))))</f>
        <v>0.33333333333333337</v>
      </c>
      <c r="AO13" s="81"/>
      <c r="AP13" s="85"/>
      <c r="AQ13" s="86" t="str">
        <f>IF(E13="有給",(R13-O13-U13)," ")</f>
        <v xml:space="preserve"> </v>
      </c>
      <c r="AR13" s="87"/>
      <c r="AS13" s="86" t="str">
        <f>IF(AN13&lt;=TIME(8,0,0)," ",(IF(AN13&gt;=X13,((MAX(AN13,0))-(IF(X13&lt;=TIME(8,0,0),TIME(8,0,0),X13)))," ")))</f>
        <v xml:space="preserve"> </v>
      </c>
      <c r="AT13" s="87"/>
      <c r="AV13" s="88" t="s">
        <v>48</v>
      </c>
    </row>
    <row r="14" spans="1:49" ht="18" customHeight="1">
      <c r="A14" s="74">
        <f>A13+1</f>
        <v>45282</v>
      </c>
      <c r="B14" s="74"/>
      <c r="C14" s="76">
        <f t="shared" ref="C14:C42" si="2">A14</f>
        <v>45282</v>
      </c>
      <c r="D14" s="76"/>
      <c r="E14" s="77" t="s">
        <v>67</v>
      </c>
      <c r="F14" s="77"/>
      <c r="G14" s="77"/>
      <c r="H14" s="77"/>
      <c r="I14" s="78"/>
      <c r="J14" s="79"/>
      <c r="K14" s="80"/>
      <c r="L14" s="78"/>
      <c r="M14" s="79"/>
      <c r="N14" s="80"/>
      <c r="O14" s="91"/>
      <c r="P14" s="92"/>
      <c r="Q14" s="93"/>
      <c r="R14" s="91"/>
      <c r="S14" s="92"/>
      <c r="T14" s="93"/>
      <c r="U14" s="91"/>
      <c r="V14" s="92"/>
      <c r="W14" s="93"/>
      <c r="X14" s="43">
        <f t="shared" ref="X14:X43" si="3">R14-O14-U14</f>
        <v>0</v>
      </c>
      <c r="Y14" s="45"/>
      <c r="Z14" s="81">
        <f t="shared" ref="Z14:Z43" si="4">IF(E14="有給",0,(IF(E14="休業",0,(IF(E14="振休",0,(IF(E14="欠勤",0,(FLOOR((IF(O14-I14&lt;0,0,(VALUE(TEXT(O14-I14,"[h]:mm"))))),"00:01")))))))))</f>
        <v>0</v>
      </c>
      <c r="AA14" s="81"/>
      <c r="AB14" s="82">
        <f t="shared" si="0"/>
        <v>0</v>
      </c>
      <c r="AC14" s="81"/>
      <c r="AD14" s="82">
        <f t="shared" si="1"/>
        <v>0</v>
      </c>
      <c r="AE14" s="81"/>
      <c r="AF14" s="82">
        <f t="shared" ref="AF14:AF43" si="5">IF(E14="出勤",(((IF(R14-L14&lt;0,0,R14-L14)))),0)</f>
        <v>0</v>
      </c>
      <c r="AG14" s="81"/>
      <c r="AH14" s="82">
        <f t="shared" ref="AH14:AH43" si="6">IF(E14="出勤",(((IF(I14-O14&lt;0,0,I14-O14)))),0)</f>
        <v>0</v>
      </c>
      <c r="AI14" s="81"/>
      <c r="AJ14" s="82">
        <f>IF(E14="休日",0,(IF(E14="休業（時間）",((FLOOR((IF(I14-O14&lt;0,0,I14-O14)),"00:01"))+(FLOOR((IF(R14-L14&lt;0,0,R14-L14)),"00:01"))),0)))</f>
        <v>0</v>
      </c>
      <c r="AK14" s="81"/>
      <c r="AL14" s="83"/>
      <c r="AM14" s="84"/>
      <c r="AN14" s="82">
        <f t="shared" ref="AN14:AN43" si="7">IF(E14="振休",0,(IF(E14="欠勤",0,(X14+Z14+AB14-AF14-AH14-AL14))))</f>
        <v>0</v>
      </c>
      <c r="AO14" s="81"/>
      <c r="AP14" s="85"/>
      <c r="AQ14" s="86" t="str">
        <f t="shared" ref="AQ14:AQ43" si="8">IF(E14="有給",(R14-O14-U14)," ")</f>
        <v xml:space="preserve"> </v>
      </c>
      <c r="AR14" s="87"/>
      <c r="AS14" s="86" t="str">
        <f>IF(AN14&lt;=TIME(8,0,0)," ",(IF(AN14&gt;=X14,((MAX(AN14,0))-(IF(X14&lt;=TIME(8,0,0),TIME(8,0,0),X14)))," ")))</f>
        <v xml:space="preserve"> </v>
      </c>
      <c r="AT14" s="87"/>
      <c r="AV14" s="89" t="s">
        <v>67</v>
      </c>
    </row>
    <row r="15" spans="1:49" ht="18" customHeight="1">
      <c r="A15" s="74">
        <f t="shared" ref="A15:A36" si="9">A14+1</f>
        <v>45283</v>
      </c>
      <c r="B15" s="74"/>
      <c r="C15" s="76">
        <f t="shared" si="2"/>
        <v>45283</v>
      </c>
      <c r="D15" s="76"/>
      <c r="E15" s="77" t="s">
        <v>67</v>
      </c>
      <c r="F15" s="77"/>
      <c r="G15" s="77"/>
      <c r="H15" s="77"/>
      <c r="I15" s="78"/>
      <c r="J15" s="79"/>
      <c r="K15" s="80"/>
      <c r="L15" s="78"/>
      <c r="M15" s="79"/>
      <c r="N15" s="80"/>
      <c r="O15" s="91"/>
      <c r="P15" s="92"/>
      <c r="Q15" s="93"/>
      <c r="R15" s="91"/>
      <c r="S15" s="92"/>
      <c r="T15" s="93"/>
      <c r="U15" s="91"/>
      <c r="V15" s="92"/>
      <c r="W15" s="93"/>
      <c r="X15" s="43">
        <f t="shared" si="3"/>
        <v>0</v>
      </c>
      <c r="Y15" s="45"/>
      <c r="Z15" s="81">
        <f t="shared" si="4"/>
        <v>0</v>
      </c>
      <c r="AA15" s="81"/>
      <c r="AB15" s="82">
        <f t="shared" si="0"/>
        <v>0</v>
      </c>
      <c r="AC15" s="81"/>
      <c r="AD15" s="82">
        <f t="shared" si="1"/>
        <v>0</v>
      </c>
      <c r="AE15" s="81"/>
      <c r="AF15" s="82">
        <f t="shared" si="5"/>
        <v>0</v>
      </c>
      <c r="AG15" s="81"/>
      <c r="AH15" s="82">
        <f t="shared" si="6"/>
        <v>0</v>
      </c>
      <c r="AI15" s="81"/>
      <c r="AJ15" s="82">
        <f t="shared" ref="AJ15:AJ43" si="10">IF(E15="休日",0,(IF(E15="休業（時間）",((FLOOR((IF(I15-O15&lt;0,0,I15-O15)),"00:01"))+(FLOOR((IF(R15-L15&lt;0,0,R15-L15)),"00:01"))),0)))</f>
        <v>0</v>
      </c>
      <c r="AK15" s="81"/>
      <c r="AL15" s="83"/>
      <c r="AM15" s="84"/>
      <c r="AN15" s="82">
        <f t="shared" si="7"/>
        <v>0</v>
      </c>
      <c r="AO15" s="81"/>
      <c r="AP15" s="85"/>
      <c r="AQ15" s="86" t="str">
        <f t="shared" si="8"/>
        <v xml:space="preserve"> </v>
      </c>
      <c r="AR15" s="87"/>
      <c r="AS15" s="86" t="str">
        <f t="shared" ref="AS15:AS43" si="11">IF(AN15&lt;=TIME(8,0,0)," ",(IF(AN15&gt;=X15,((MAX(AN15,0))-(IF(X15&lt;=TIME(8,0,0),TIME(8,0,0),X15)))," ")))</f>
        <v xml:space="preserve"> </v>
      </c>
      <c r="AT15" s="87"/>
      <c r="AV15" s="89" t="s">
        <v>68</v>
      </c>
    </row>
    <row r="16" spans="1:49" ht="18" customHeight="1">
      <c r="A16" s="74">
        <f>A15+1</f>
        <v>45284</v>
      </c>
      <c r="B16" s="74"/>
      <c r="C16" s="76">
        <f t="shared" si="2"/>
        <v>45284</v>
      </c>
      <c r="D16" s="76"/>
      <c r="E16" s="77" t="s">
        <v>68</v>
      </c>
      <c r="F16" s="77"/>
      <c r="G16" s="77"/>
      <c r="H16" s="77"/>
      <c r="I16" s="78"/>
      <c r="J16" s="79"/>
      <c r="K16" s="80"/>
      <c r="L16" s="78"/>
      <c r="M16" s="79"/>
      <c r="N16" s="80"/>
      <c r="O16" s="91"/>
      <c r="P16" s="92"/>
      <c r="Q16" s="93"/>
      <c r="R16" s="91"/>
      <c r="S16" s="92"/>
      <c r="T16" s="93"/>
      <c r="U16" s="91"/>
      <c r="V16" s="92"/>
      <c r="W16" s="93"/>
      <c r="X16" s="43">
        <f t="shared" si="3"/>
        <v>0</v>
      </c>
      <c r="Y16" s="45"/>
      <c r="Z16" s="81">
        <f t="shared" si="4"/>
        <v>0</v>
      </c>
      <c r="AA16" s="81"/>
      <c r="AB16" s="82">
        <f>IF(L16-R16&lt;0,0,(L16-(IF(O16="",I16,R16))))</f>
        <v>0</v>
      </c>
      <c r="AC16" s="81"/>
      <c r="AD16" s="82">
        <f t="shared" si="1"/>
        <v>0</v>
      </c>
      <c r="AE16" s="81"/>
      <c r="AF16" s="82">
        <f t="shared" si="5"/>
        <v>0</v>
      </c>
      <c r="AG16" s="81"/>
      <c r="AH16" s="82">
        <f t="shared" si="6"/>
        <v>0</v>
      </c>
      <c r="AI16" s="81"/>
      <c r="AJ16" s="82">
        <f t="shared" si="10"/>
        <v>0</v>
      </c>
      <c r="AK16" s="81"/>
      <c r="AL16" s="83"/>
      <c r="AM16" s="84"/>
      <c r="AN16" s="82">
        <f t="shared" si="7"/>
        <v>0</v>
      </c>
      <c r="AO16" s="81"/>
      <c r="AP16" s="85"/>
      <c r="AQ16" s="86" t="str">
        <f t="shared" si="8"/>
        <v xml:space="preserve"> </v>
      </c>
      <c r="AR16" s="87"/>
      <c r="AS16" s="86" t="str">
        <f t="shared" si="11"/>
        <v xml:space="preserve"> </v>
      </c>
      <c r="AT16" s="87"/>
      <c r="AV16" s="89" t="s">
        <v>69</v>
      </c>
    </row>
    <row r="17" spans="1:48" ht="18" customHeight="1">
      <c r="A17" s="74">
        <f t="shared" si="9"/>
        <v>45285</v>
      </c>
      <c r="B17" s="74"/>
      <c r="C17" s="76">
        <f t="shared" si="2"/>
        <v>45285</v>
      </c>
      <c r="D17" s="76"/>
      <c r="E17" s="77" t="s">
        <v>67</v>
      </c>
      <c r="F17" s="77"/>
      <c r="G17" s="77"/>
      <c r="H17" s="77"/>
      <c r="I17" s="78"/>
      <c r="J17" s="79"/>
      <c r="K17" s="80"/>
      <c r="L17" s="78"/>
      <c r="M17" s="79"/>
      <c r="N17" s="80"/>
      <c r="O17" s="91"/>
      <c r="P17" s="92"/>
      <c r="Q17" s="93"/>
      <c r="R17" s="91"/>
      <c r="S17" s="92"/>
      <c r="T17" s="93"/>
      <c r="U17" s="91"/>
      <c r="V17" s="92"/>
      <c r="W17" s="93"/>
      <c r="X17" s="43">
        <f t="shared" si="3"/>
        <v>0</v>
      </c>
      <c r="Y17" s="45"/>
      <c r="Z17" s="81">
        <f t="shared" si="4"/>
        <v>0</v>
      </c>
      <c r="AA17" s="81"/>
      <c r="AB17" s="82">
        <f t="shared" si="0"/>
        <v>0</v>
      </c>
      <c r="AC17" s="81"/>
      <c r="AD17" s="82">
        <f t="shared" si="1"/>
        <v>0</v>
      </c>
      <c r="AE17" s="81"/>
      <c r="AF17" s="82">
        <f t="shared" si="5"/>
        <v>0</v>
      </c>
      <c r="AG17" s="81"/>
      <c r="AH17" s="82">
        <f t="shared" si="6"/>
        <v>0</v>
      </c>
      <c r="AI17" s="81"/>
      <c r="AJ17" s="82">
        <f t="shared" si="10"/>
        <v>0</v>
      </c>
      <c r="AK17" s="81"/>
      <c r="AL17" s="83"/>
      <c r="AM17" s="84"/>
      <c r="AN17" s="82">
        <f t="shared" si="7"/>
        <v>0</v>
      </c>
      <c r="AO17" s="81"/>
      <c r="AP17" s="85"/>
      <c r="AQ17" s="86" t="str">
        <f t="shared" si="8"/>
        <v xml:space="preserve"> </v>
      </c>
      <c r="AR17" s="87"/>
      <c r="AS17" s="86" t="str">
        <f t="shared" si="11"/>
        <v xml:space="preserve"> </v>
      </c>
      <c r="AT17" s="87"/>
      <c r="AV17" s="89" t="s">
        <v>70</v>
      </c>
    </row>
    <row r="18" spans="1:48" ht="18" customHeight="1">
      <c r="A18" s="74">
        <f t="shared" si="9"/>
        <v>45286</v>
      </c>
      <c r="B18" s="74"/>
      <c r="C18" s="76">
        <f t="shared" si="2"/>
        <v>45286</v>
      </c>
      <c r="D18" s="76"/>
      <c r="E18" s="77" t="s">
        <v>67</v>
      </c>
      <c r="F18" s="77"/>
      <c r="G18" s="77"/>
      <c r="H18" s="77"/>
      <c r="I18" s="78"/>
      <c r="J18" s="79"/>
      <c r="K18" s="80"/>
      <c r="L18" s="78"/>
      <c r="M18" s="79"/>
      <c r="N18" s="80"/>
      <c r="O18" s="91"/>
      <c r="P18" s="92"/>
      <c r="Q18" s="93"/>
      <c r="R18" s="91"/>
      <c r="S18" s="92"/>
      <c r="T18" s="93"/>
      <c r="U18" s="91"/>
      <c r="V18" s="92"/>
      <c r="W18" s="93"/>
      <c r="X18" s="43">
        <f t="shared" si="3"/>
        <v>0</v>
      </c>
      <c r="Y18" s="45"/>
      <c r="Z18" s="81">
        <f t="shared" si="4"/>
        <v>0</v>
      </c>
      <c r="AA18" s="81"/>
      <c r="AB18" s="82">
        <f t="shared" si="0"/>
        <v>0</v>
      </c>
      <c r="AC18" s="81"/>
      <c r="AD18" s="82">
        <f t="shared" si="1"/>
        <v>0</v>
      </c>
      <c r="AE18" s="81"/>
      <c r="AF18" s="82">
        <f t="shared" si="5"/>
        <v>0</v>
      </c>
      <c r="AG18" s="81"/>
      <c r="AH18" s="82">
        <f t="shared" si="6"/>
        <v>0</v>
      </c>
      <c r="AI18" s="81"/>
      <c r="AJ18" s="82">
        <f t="shared" si="10"/>
        <v>0</v>
      </c>
      <c r="AK18" s="81"/>
      <c r="AL18" s="83"/>
      <c r="AM18" s="84"/>
      <c r="AN18" s="82">
        <f t="shared" si="7"/>
        <v>0</v>
      </c>
      <c r="AO18" s="81"/>
      <c r="AP18" s="85"/>
      <c r="AQ18" s="86" t="str">
        <f t="shared" si="8"/>
        <v xml:space="preserve"> </v>
      </c>
      <c r="AR18" s="87"/>
      <c r="AS18" s="86" t="str">
        <f t="shared" si="11"/>
        <v xml:space="preserve"> </v>
      </c>
      <c r="AT18" s="87"/>
      <c r="AV18" s="89" t="s">
        <v>71</v>
      </c>
    </row>
    <row r="19" spans="1:48" ht="18" customHeight="1">
      <c r="A19" s="74">
        <f t="shared" si="9"/>
        <v>45287</v>
      </c>
      <c r="B19" s="74"/>
      <c r="C19" s="76">
        <f t="shared" si="2"/>
        <v>45287</v>
      </c>
      <c r="D19" s="76"/>
      <c r="E19" s="77" t="s">
        <v>67</v>
      </c>
      <c r="F19" s="77"/>
      <c r="G19" s="77"/>
      <c r="H19" s="77"/>
      <c r="I19" s="78"/>
      <c r="J19" s="79"/>
      <c r="K19" s="80"/>
      <c r="L19" s="78"/>
      <c r="M19" s="79"/>
      <c r="N19" s="80"/>
      <c r="O19" s="91"/>
      <c r="P19" s="92"/>
      <c r="Q19" s="93"/>
      <c r="R19" s="91"/>
      <c r="S19" s="92"/>
      <c r="T19" s="93"/>
      <c r="U19" s="91"/>
      <c r="V19" s="92"/>
      <c r="W19" s="93"/>
      <c r="X19" s="43">
        <f t="shared" si="3"/>
        <v>0</v>
      </c>
      <c r="Y19" s="45"/>
      <c r="Z19" s="81">
        <f t="shared" si="4"/>
        <v>0</v>
      </c>
      <c r="AA19" s="81"/>
      <c r="AB19" s="82">
        <f t="shared" si="0"/>
        <v>0</v>
      </c>
      <c r="AC19" s="81"/>
      <c r="AD19" s="82">
        <f t="shared" si="1"/>
        <v>0</v>
      </c>
      <c r="AE19" s="81"/>
      <c r="AF19" s="82">
        <f t="shared" si="5"/>
        <v>0</v>
      </c>
      <c r="AG19" s="81"/>
      <c r="AH19" s="82">
        <f t="shared" si="6"/>
        <v>0</v>
      </c>
      <c r="AI19" s="81"/>
      <c r="AJ19" s="82">
        <f t="shared" si="10"/>
        <v>0</v>
      </c>
      <c r="AK19" s="81"/>
      <c r="AL19" s="83"/>
      <c r="AM19" s="84"/>
      <c r="AN19" s="82">
        <f t="shared" si="7"/>
        <v>0</v>
      </c>
      <c r="AO19" s="81"/>
      <c r="AP19" s="85"/>
      <c r="AQ19" s="86" t="str">
        <f t="shared" si="8"/>
        <v xml:space="preserve"> </v>
      </c>
      <c r="AR19" s="87"/>
      <c r="AS19" s="86" t="str">
        <f t="shared" si="11"/>
        <v xml:space="preserve"> </v>
      </c>
      <c r="AT19" s="87"/>
      <c r="AV19" s="89" t="s">
        <v>72</v>
      </c>
    </row>
    <row r="20" spans="1:48" ht="18" customHeight="1">
      <c r="A20" s="74">
        <f t="shared" si="9"/>
        <v>45288</v>
      </c>
      <c r="B20" s="74"/>
      <c r="C20" s="76">
        <f t="shared" si="2"/>
        <v>45288</v>
      </c>
      <c r="D20" s="76"/>
      <c r="E20" s="77" t="s">
        <v>67</v>
      </c>
      <c r="F20" s="77"/>
      <c r="G20" s="77"/>
      <c r="H20" s="77"/>
      <c r="I20" s="78"/>
      <c r="J20" s="79"/>
      <c r="K20" s="80"/>
      <c r="L20" s="78"/>
      <c r="M20" s="79"/>
      <c r="N20" s="80"/>
      <c r="O20" s="91"/>
      <c r="P20" s="92"/>
      <c r="Q20" s="93"/>
      <c r="R20" s="91"/>
      <c r="S20" s="92"/>
      <c r="T20" s="93"/>
      <c r="U20" s="91"/>
      <c r="V20" s="92"/>
      <c r="W20" s="93"/>
      <c r="X20" s="43">
        <f t="shared" si="3"/>
        <v>0</v>
      </c>
      <c r="Y20" s="45"/>
      <c r="Z20" s="81">
        <f t="shared" si="4"/>
        <v>0</v>
      </c>
      <c r="AA20" s="81"/>
      <c r="AB20" s="82">
        <f t="shared" si="0"/>
        <v>0</v>
      </c>
      <c r="AC20" s="81"/>
      <c r="AD20" s="82">
        <f t="shared" si="1"/>
        <v>0</v>
      </c>
      <c r="AE20" s="81"/>
      <c r="AF20" s="82">
        <f t="shared" si="5"/>
        <v>0</v>
      </c>
      <c r="AG20" s="81"/>
      <c r="AH20" s="82">
        <f t="shared" si="6"/>
        <v>0</v>
      </c>
      <c r="AI20" s="81"/>
      <c r="AJ20" s="82">
        <f t="shared" si="10"/>
        <v>0</v>
      </c>
      <c r="AK20" s="81"/>
      <c r="AL20" s="83"/>
      <c r="AM20" s="84"/>
      <c r="AN20" s="82">
        <f t="shared" si="7"/>
        <v>0</v>
      </c>
      <c r="AO20" s="81"/>
      <c r="AP20" s="85"/>
      <c r="AQ20" s="86" t="str">
        <f t="shared" si="8"/>
        <v xml:space="preserve"> </v>
      </c>
      <c r="AR20" s="87"/>
      <c r="AS20" s="86" t="str">
        <f t="shared" si="11"/>
        <v xml:space="preserve"> </v>
      </c>
      <c r="AT20" s="87"/>
      <c r="AV20" s="89" t="s">
        <v>73</v>
      </c>
    </row>
    <row r="21" spans="1:48" ht="18" customHeight="1">
      <c r="A21" s="74">
        <f t="shared" si="9"/>
        <v>45289</v>
      </c>
      <c r="B21" s="74"/>
      <c r="C21" s="76">
        <f t="shared" si="2"/>
        <v>45289</v>
      </c>
      <c r="D21" s="76"/>
      <c r="E21" s="77" t="s">
        <v>67</v>
      </c>
      <c r="F21" s="77"/>
      <c r="G21" s="77"/>
      <c r="H21" s="77"/>
      <c r="I21" s="78"/>
      <c r="J21" s="79"/>
      <c r="K21" s="80"/>
      <c r="L21" s="78"/>
      <c r="M21" s="79"/>
      <c r="N21" s="80"/>
      <c r="O21" s="91"/>
      <c r="P21" s="92"/>
      <c r="Q21" s="93"/>
      <c r="R21" s="91"/>
      <c r="S21" s="92"/>
      <c r="T21" s="93"/>
      <c r="U21" s="91"/>
      <c r="V21" s="92"/>
      <c r="W21" s="93"/>
      <c r="X21" s="43">
        <f t="shared" si="3"/>
        <v>0</v>
      </c>
      <c r="Y21" s="45"/>
      <c r="Z21" s="81">
        <f t="shared" si="4"/>
        <v>0</v>
      </c>
      <c r="AA21" s="81"/>
      <c r="AB21" s="82">
        <f t="shared" si="0"/>
        <v>0</v>
      </c>
      <c r="AC21" s="81"/>
      <c r="AD21" s="82">
        <f t="shared" si="1"/>
        <v>0</v>
      </c>
      <c r="AE21" s="81"/>
      <c r="AF21" s="82">
        <f t="shared" si="5"/>
        <v>0</v>
      </c>
      <c r="AG21" s="81"/>
      <c r="AH21" s="82">
        <f t="shared" si="6"/>
        <v>0</v>
      </c>
      <c r="AI21" s="81"/>
      <c r="AJ21" s="82">
        <f t="shared" si="10"/>
        <v>0</v>
      </c>
      <c r="AK21" s="81"/>
      <c r="AL21" s="83"/>
      <c r="AM21" s="84"/>
      <c r="AN21" s="82">
        <f t="shared" si="7"/>
        <v>0</v>
      </c>
      <c r="AO21" s="81"/>
      <c r="AP21" s="85"/>
      <c r="AQ21" s="86" t="str">
        <f t="shared" si="8"/>
        <v xml:space="preserve"> </v>
      </c>
      <c r="AR21" s="87"/>
      <c r="AS21" s="86" t="str">
        <f t="shared" si="11"/>
        <v xml:space="preserve"> </v>
      </c>
      <c r="AT21" s="87"/>
      <c r="AV21" s="89"/>
    </row>
    <row r="22" spans="1:48" ht="18" customHeight="1">
      <c r="A22" s="74">
        <f t="shared" si="9"/>
        <v>45290</v>
      </c>
      <c r="B22" s="74"/>
      <c r="C22" s="76">
        <f t="shared" si="2"/>
        <v>45290</v>
      </c>
      <c r="D22" s="76"/>
      <c r="E22" s="77" t="s">
        <v>67</v>
      </c>
      <c r="F22" s="77"/>
      <c r="G22" s="77"/>
      <c r="H22" s="77"/>
      <c r="I22" s="78"/>
      <c r="J22" s="79"/>
      <c r="K22" s="80"/>
      <c r="L22" s="78"/>
      <c r="M22" s="79"/>
      <c r="N22" s="80"/>
      <c r="O22" s="91"/>
      <c r="P22" s="92"/>
      <c r="Q22" s="93"/>
      <c r="R22" s="91"/>
      <c r="S22" s="92"/>
      <c r="T22" s="93"/>
      <c r="U22" s="91"/>
      <c r="V22" s="92"/>
      <c r="W22" s="93"/>
      <c r="X22" s="43">
        <f t="shared" si="3"/>
        <v>0</v>
      </c>
      <c r="Y22" s="45"/>
      <c r="Z22" s="81">
        <f t="shared" si="4"/>
        <v>0</v>
      </c>
      <c r="AA22" s="81"/>
      <c r="AB22" s="82">
        <f t="shared" si="0"/>
        <v>0</v>
      </c>
      <c r="AC22" s="81"/>
      <c r="AD22" s="82">
        <f t="shared" si="1"/>
        <v>0</v>
      </c>
      <c r="AE22" s="81"/>
      <c r="AF22" s="82">
        <f t="shared" si="5"/>
        <v>0</v>
      </c>
      <c r="AG22" s="81"/>
      <c r="AH22" s="82">
        <f t="shared" si="6"/>
        <v>0</v>
      </c>
      <c r="AI22" s="81"/>
      <c r="AJ22" s="82">
        <f t="shared" si="10"/>
        <v>0</v>
      </c>
      <c r="AK22" s="81"/>
      <c r="AL22" s="83"/>
      <c r="AM22" s="84"/>
      <c r="AN22" s="82">
        <f t="shared" si="7"/>
        <v>0</v>
      </c>
      <c r="AO22" s="81"/>
      <c r="AP22" s="85"/>
      <c r="AQ22" s="86" t="str">
        <f t="shared" si="8"/>
        <v xml:space="preserve"> </v>
      </c>
      <c r="AR22" s="87"/>
      <c r="AS22" s="86" t="str">
        <f t="shared" si="11"/>
        <v xml:space="preserve"> </v>
      </c>
      <c r="AT22" s="87"/>
      <c r="AV22" s="89"/>
    </row>
    <row r="23" spans="1:48" ht="18" customHeight="1">
      <c r="A23" s="74">
        <f t="shared" si="9"/>
        <v>45291</v>
      </c>
      <c r="B23" s="74"/>
      <c r="C23" s="76">
        <f t="shared" si="2"/>
        <v>45291</v>
      </c>
      <c r="D23" s="76"/>
      <c r="E23" s="77" t="s">
        <v>68</v>
      </c>
      <c r="F23" s="77"/>
      <c r="G23" s="77"/>
      <c r="H23" s="77"/>
      <c r="I23" s="78"/>
      <c r="J23" s="79"/>
      <c r="K23" s="80"/>
      <c r="L23" s="78"/>
      <c r="M23" s="79"/>
      <c r="N23" s="80"/>
      <c r="O23" s="91"/>
      <c r="P23" s="92"/>
      <c r="Q23" s="93"/>
      <c r="R23" s="91"/>
      <c r="S23" s="92"/>
      <c r="T23" s="93"/>
      <c r="U23" s="91"/>
      <c r="V23" s="92"/>
      <c r="W23" s="93"/>
      <c r="X23" s="43">
        <f t="shared" si="3"/>
        <v>0</v>
      </c>
      <c r="Y23" s="45"/>
      <c r="Z23" s="81">
        <f t="shared" si="4"/>
        <v>0</v>
      </c>
      <c r="AA23" s="81"/>
      <c r="AB23" s="82">
        <f t="shared" si="0"/>
        <v>0</v>
      </c>
      <c r="AC23" s="81"/>
      <c r="AD23" s="82">
        <f t="shared" si="1"/>
        <v>0</v>
      </c>
      <c r="AE23" s="81"/>
      <c r="AF23" s="82">
        <f t="shared" si="5"/>
        <v>0</v>
      </c>
      <c r="AG23" s="81"/>
      <c r="AH23" s="82">
        <f t="shared" si="6"/>
        <v>0</v>
      </c>
      <c r="AI23" s="81"/>
      <c r="AJ23" s="82">
        <f t="shared" si="10"/>
        <v>0</v>
      </c>
      <c r="AK23" s="81"/>
      <c r="AL23" s="83"/>
      <c r="AM23" s="84"/>
      <c r="AN23" s="82">
        <f t="shared" si="7"/>
        <v>0</v>
      </c>
      <c r="AO23" s="81"/>
      <c r="AP23" s="85"/>
      <c r="AQ23" s="86" t="str">
        <f t="shared" si="8"/>
        <v xml:space="preserve"> </v>
      </c>
      <c r="AR23" s="87"/>
      <c r="AS23" s="86" t="str">
        <f t="shared" si="11"/>
        <v xml:space="preserve"> </v>
      </c>
      <c r="AT23" s="87"/>
      <c r="AV23" s="89"/>
    </row>
    <row r="24" spans="1:48" ht="18" customHeight="1">
      <c r="A24" s="74">
        <f>A23+1</f>
        <v>45292</v>
      </c>
      <c r="B24" s="74"/>
      <c r="C24" s="76">
        <f t="shared" si="2"/>
        <v>45292</v>
      </c>
      <c r="D24" s="76"/>
      <c r="E24" s="77" t="s">
        <v>68</v>
      </c>
      <c r="F24" s="77"/>
      <c r="G24" s="77"/>
      <c r="H24" s="77"/>
      <c r="I24" s="78"/>
      <c r="J24" s="79"/>
      <c r="K24" s="80"/>
      <c r="L24" s="78"/>
      <c r="M24" s="79"/>
      <c r="N24" s="80"/>
      <c r="O24" s="91"/>
      <c r="P24" s="92"/>
      <c r="Q24" s="93"/>
      <c r="R24" s="91"/>
      <c r="S24" s="92"/>
      <c r="T24" s="93"/>
      <c r="U24" s="91"/>
      <c r="V24" s="92"/>
      <c r="W24" s="93"/>
      <c r="X24" s="43">
        <f t="shared" si="3"/>
        <v>0</v>
      </c>
      <c r="Y24" s="45"/>
      <c r="Z24" s="81">
        <f t="shared" si="4"/>
        <v>0</v>
      </c>
      <c r="AA24" s="81"/>
      <c r="AB24" s="82">
        <f t="shared" si="0"/>
        <v>0</v>
      </c>
      <c r="AC24" s="81"/>
      <c r="AD24" s="82">
        <f t="shared" si="1"/>
        <v>0</v>
      </c>
      <c r="AE24" s="81"/>
      <c r="AF24" s="82">
        <f t="shared" si="5"/>
        <v>0</v>
      </c>
      <c r="AG24" s="81"/>
      <c r="AH24" s="82">
        <f t="shared" si="6"/>
        <v>0</v>
      </c>
      <c r="AI24" s="81"/>
      <c r="AJ24" s="82">
        <f t="shared" si="10"/>
        <v>0</v>
      </c>
      <c r="AK24" s="81"/>
      <c r="AL24" s="83"/>
      <c r="AM24" s="84"/>
      <c r="AN24" s="82">
        <f t="shared" si="7"/>
        <v>0</v>
      </c>
      <c r="AO24" s="81"/>
      <c r="AP24" s="85"/>
      <c r="AQ24" s="86" t="str">
        <f t="shared" si="8"/>
        <v xml:space="preserve"> </v>
      </c>
      <c r="AR24" s="87"/>
      <c r="AS24" s="86" t="str">
        <f t="shared" si="11"/>
        <v xml:space="preserve"> </v>
      </c>
      <c r="AT24" s="87"/>
    </row>
    <row r="25" spans="1:48" ht="18" customHeight="1">
      <c r="A25" s="74">
        <f t="shared" si="9"/>
        <v>45293</v>
      </c>
      <c r="B25" s="74"/>
      <c r="C25" s="76">
        <f t="shared" si="2"/>
        <v>45293</v>
      </c>
      <c r="D25" s="76"/>
      <c r="E25" s="77" t="s">
        <v>68</v>
      </c>
      <c r="F25" s="77"/>
      <c r="G25" s="77"/>
      <c r="H25" s="77"/>
      <c r="I25" s="78"/>
      <c r="J25" s="79"/>
      <c r="K25" s="80"/>
      <c r="L25" s="78"/>
      <c r="M25" s="79"/>
      <c r="N25" s="80"/>
      <c r="O25" s="91"/>
      <c r="P25" s="92"/>
      <c r="Q25" s="93"/>
      <c r="R25" s="91"/>
      <c r="S25" s="92"/>
      <c r="T25" s="93"/>
      <c r="U25" s="91"/>
      <c r="V25" s="92"/>
      <c r="W25" s="93"/>
      <c r="X25" s="43">
        <f t="shared" si="3"/>
        <v>0</v>
      </c>
      <c r="Y25" s="45"/>
      <c r="Z25" s="81">
        <f t="shared" si="4"/>
        <v>0</v>
      </c>
      <c r="AA25" s="81"/>
      <c r="AB25" s="82">
        <f t="shared" si="0"/>
        <v>0</v>
      </c>
      <c r="AC25" s="81"/>
      <c r="AD25" s="82">
        <f t="shared" si="1"/>
        <v>0</v>
      </c>
      <c r="AE25" s="81"/>
      <c r="AF25" s="82">
        <f t="shared" si="5"/>
        <v>0</v>
      </c>
      <c r="AG25" s="81"/>
      <c r="AH25" s="82">
        <f t="shared" si="6"/>
        <v>0</v>
      </c>
      <c r="AI25" s="81"/>
      <c r="AJ25" s="82">
        <f t="shared" si="10"/>
        <v>0</v>
      </c>
      <c r="AK25" s="81"/>
      <c r="AL25" s="83"/>
      <c r="AM25" s="84"/>
      <c r="AN25" s="82">
        <f t="shared" si="7"/>
        <v>0</v>
      </c>
      <c r="AO25" s="81"/>
      <c r="AP25" s="85"/>
      <c r="AQ25" s="86" t="str">
        <f t="shared" si="8"/>
        <v xml:space="preserve"> </v>
      </c>
      <c r="AR25" s="87"/>
      <c r="AS25" s="86" t="str">
        <f t="shared" si="11"/>
        <v xml:space="preserve"> </v>
      </c>
      <c r="AT25" s="87"/>
    </row>
    <row r="26" spans="1:48" ht="18" customHeight="1">
      <c r="A26" s="74">
        <f t="shared" si="9"/>
        <v>45294</v>
      </c>
      <c r="B26" s="74"/>
      <c r="C26" s="76">
        <f t="shared" si="2"/>
        <v>45294</v>
      </c>
      <c r="D26" s="76"/>
      <c r="E26" s="77" t="s">
        <v>68</v>
      </c>
      <c r="F26" s="77"/>
      <c r="G26" s="77"/>
      <c r="H26" s="77"/>
      <c r="I26" s="78"/>
      <c r="J26" s="79"/>
      <c r="K26" s="80"/>
      <c r="L26" s="78"/>
      <c r="M26" s="79"/>
      <c r="N26" s="80"/>
      <c r="O26" s="91"/>
      <c r="P26" s="92"/>
      <c r="Q26" s="93"/>
      <c r="R26" s="91"/>
      <c r="S26" s="92"/>
      <c r="T26" s="93"/>
      <c r="U26" s="91"/>
      <c r="V26" s="92"/>
      <c r="W26" s="93"/>
      <c r="X26" s="43">
        <f t="shared" si="3"/>
        <v>0</v>
      </c>
      <c r="Y26" s="45"/>
      <c r="Z26" s="81">
        <f t="shared" si="4"/>
        <v>0</v>
      </c>
      <c r="AA26" s="81"/>
      <c r="AB26" s="82">
        <f t="shared" si="0"/>
        <v>0</v>
      </c>
      <c r="AC26" s="81"/>
      <c r="AD26" s="82">
        <f t="shared" si="1"/>
        <v>0</v>
      </c>
      <c r="AE26" s="81"/>
      <c r="AF26" s="82">
        <f t="shared" si="5"/>
        <v>0</v>
      </c>
      <c r="AG26" s="81"/>
      <c r="AH26" s="82">
        <f t="shared" si="6"/>
        <v>0</v>
      </c>
      <c r="AI26" s="81"/>
      <c r="AJ26" s="82">
        <f t="shared" si="10"/>
        <v>0</v>
      </c>
      <c r="AK26" s="81"/>
      <c r="AL26" s="83"/>
      <c r="AM26" s="84"/>
      <c r="AN26" s="82">
        <f t="shared" si="7"/>
        <v>0</v>
      </c>
      <c r="AO26" s="81"/>
      <c r="AP26" s="85"/>
      <c r="AQ26" s="86" t="str">
        <f t="shared" si="8"/>
        <v xml:space="preserve"> </v>
      </c>
      <c r="AR26" s="87"/>
      <c r="AS26" s="86" t="str">
        <f t="shared" si="11"/>
        <v xml:space="preserve"> </v>
      </c>
      <c r="AT26" s="87"/>
    </row>
    <row r="27" spans="1:48" ht="18" customHeight="1">
      <c r="A27" s="74">
        <f t="shared" si="9"/>
        <v>45295</v>
      </c>
      <c r="B27" s="74"/>
      <c r="C27" s="76">
        <f t="shared" si="2"/>
        <v>45295</v>
      </c>
      <c r="D27" s="76"/>
      <c r="E27" s="77" t="s">
        <v>67</v>
      </c>
      <c r="F27" s="77"/>
      <c r="G27" s="77"/>
      <c r="H27" s="77"/>
      <c r="I27" s="78"/>
      <c r="J27" s="79"/>
      <c r="K27" s="80"/>
      <c r="L27" s="78"/>
      <c r="M27" s="79"/>
      <c r="N27" s="80"/>
      <c r="O27" s="91"/>
      <c r="P27" s="92"/>
      <c r="Q27" s="93"/>
      <c r="R27" s="91"/>
      <c r="S27" s="92"/>
      <c r="T27" s="93"/>
      <c r="U27" s="91"/>
      <c r="V27" s="92"/>
      <c r="W27" s="93"/>
      <c r="X27" s="43">
        <f t="shared" si="3"/>
        <v>0</v>
      </c>
      <c r="Y27" s="45"/>
      <c r="Z27" s="81">
        <f t="shared" si="4"/>
        <v>0</v>
      </c>
      <c r="AA27" s="81"/>
      <c r="AB27" s="82">
        <f t="shared" si="0"/>
        <v>0</v>
      </c>
      <c r="AC27" s="81"/>
      <c r="AD27" s="82">
        <f t="shared" si="1"/>
        <v>0</v>
      </c>
      <c r="AE27" s="81"/>
      <c r="AF27" s="82">
        <f t="shared" si="5"/>
        <v>0</v>
      </c>
      <c r="AG27" s="81"/>
      <c r="AH27" s="82">
        <f t="shared" si="6"/>
        <v>0</v>
      </c>
      <c r="AI27" s="81"/>
      <c r="AJ27" s="82">
        <f t="shared" si="10"/>
        <v>0</v>
      </c>
      <c r="AK27" s="81"/>
      <c r="AL27" s="83"/>
      <c r="AM27" s="84"/>
      <c r="AN27" s="82">
        <f t="shared" si="7"/>
        <v>0</v>
      </c>
      <c r="AO27" s="81"/>
      <c r="AP27" s="85"/>
      <c r="AQ27" s="86" t="str">
        <f t="shared" si="8"/>
        <v xml:space="preserve"> </v>
      </c>
      <c r="AR27" s="87"/>
      <c r="AS27" s="86" t="str">
        <f t="shared" si="11"/>
        <v xml:space="preserve"> </v>
      </c>
      <c r="AT27" s="87"/>
    </row>
    <row r="28" spans="1:48" ht="18" customHeight="1">
      <c r="A28" s="74">
        <f t="shared" si="9"/>
        <v>45296</v>
      </c>
      <c r="B28" s="74"/>
      <c r="C28" s="76">
        <f t="shared" si="2"/>
        <v>45296</v>
      </c>
      <c r="D28" s="76"/>
      <c r="E28" s="77" t="s">
        <v>67</v>
      </c>
      <c r="F28" s="77"/>
      <c r="G28" s="77"/>
      <c r="H28" s="77"/>
      <c r="I28" s="78"/>
      <c r="J28" s="79"/>
      <c r="K28" s="80"/>
      <c r="L28" s="78"/>
      <c r="M28" s="79"/>
      <c r="N28" s="80"/>
      <c r="O28" s="91"/>
      <c r="P28" s="92"/>
      <c r="Q28" s="93"/>
      <c r="R28" s="91"/>
      <c r="S28" s="92"/>
      <c r="T28" s="93"/>
      <c r="U28" s="91"/>
      <c r="V28" s="92"/>
      <c r="W28" s="93"/>
      <c r="X28" s="43">
        <f t="shared" si="3"/>
        <v>0</v>
      </c>
      <c r="Y28" s="45"/>
      <c r="Z28" s="81">
        <f t="shared" si="4"/>
        <v>0</v>
      </c>
      <c r="AA28" s="81"/>
      <c r="AB28" s="82">
        <f t="shared" si="0"/>
        <v>0</v>
      </c>
      <c r="AC28" s="81"/>
      <c r="AD28" s="82">
        <f t="shared" si="1"/>
        <v>0</v>
      </c>
      <c r="AE28" s="81"/>
      <c r="AF28" s="82">
        <f t="shared" si="5"/>
        <v>0</v>
      </c>
      <c r="AG28" s="81"/>
      <c r="AH28" s="82">
        <f t="shared" si="6"/>
        <v>0</v>
      </c>
      <c r="AI28" s="81"/>
      <c r="AJ28" s="82">
        <f t="shared" si="10"/>
        <v>0</v>
      </c>
      <c r="AK28" s="81"/>
      <c r="AL28" s="83"/>
      <c r="AM28" s="84"/>
      <c r="AN28" s="82">
        <f t="shared" si="7"/>
        <v>0</v>
      </c>
      <c r="AO28" s="81"/>
      <c r="AP28" s="85"/>
      <c r="AQ28" s="86" t="str">
        <f t="shared" si="8"/>
        <v xml:space="preserve"> </v>
      </c>
      <c r="AR28" s="87"/>
      <c r="AS28" s="86" t="str">
        <f t="shared" si="11"/>
        <v xml:space="preserve"> </v>
      </c>
      <c r="AT28" s="87"/>
    </row>
    <row r="29" spans="1:48" ht="18" customHeight="1">
      <c r="A29" s="74">
        <f t="shared" si="9"/>
        <v>45297</v>
      </c>
      <c r="B29" s="74"/>
      <c r="C29" s="76">
        <f t="shared" si="2"/>
        <v>45297</v>
      </c>
      <c r="D29" s="76"/>
      <c r="E29" s="77" t="s">
        <v>67</v>
      </c>
      <c r="F29" s="77"/>
      <c r="G29" s="77"/>
      <c r="H29" s="77"/>
      <c r="I29" s="78"/>
      <c r="J29" s="79"/>
      <c r="K29" s="80"/>
      <c r="L29" s="78"/>
      <c r="M29" s="79"/>
      <c r="N29" s="80"/>
      <c r="O29" s="91"/>
      <c r="P29" s="92"/>
      <c r="Q29" s="93"/>
      <c r="R29" s="91"/>
      <c r="S29" s="92"/>
      <c r="T29" s="93"/>
      <c r="U29" s="91"/>
      <c r="V29" s="92"/>
      <c r="W29" s="93"/>
      <c r="X29" s="43">
        <f t="shared" si="3"/>
        <v>0</v>
      </c>
      <c r="Y29" s="45"/>
      <c r="Z29" s="81">
        <f t="shared" si="4"/>
        <v>0</v>
      </c>
      <c r="AA29" s="81"/>
      <c r="AB29" s="82">
        <f t="shared" si="0"/>
        <v>0</v>
      </c>
      <c r="AC29" s="81"/>
      <c r="AD29" s="82">
        <f t="shared" si="1"/>
        <v>0</v>
      </c>
      <c r="AE29" s="81"/>
      <c r="AF29" s="82">
        <f t="shared" si="5"/>
        <v>0</v>
      </c>
      <c r="AG29" s="81"/>
      <c r="AH29" s="82">
        <f t="shared" si="6"/>
        <v>0</v>
      </c>
      <c r="AI29" s="81"/>
      <c r="AJ29" s="82">
        <f t="shared" si="10"/>
        <v>0</v>
      </c>
      <c r="AK29" s="81"/>
      <c r="AL29" s="83"/>
      <c r="AM29" s="84"/>
      <c r="AN29" s="82">
        <f t="shared" si="7"/>
        <v>0</v>
      </c>
      <c r="AO29" s="81"/>
      <c r="AP29" s="85"/>
      <c r="AQ29" s="86" t="str">
        <f t="shared" si="8"/>
        <v xml:space="preserve"> </v>
      </c>
      <c r="AR29" s="87"/>
      <c r="AS29" s="86" t="str">
        <f t="shared" si="11"/>
        <v xml:space="preserve"> </v>
      </c>
      <c r="AT29" s="87"/>
    </row>
    <row r="30" spans="1:48" ht="18" customHeight="1">
      <c r="A30" s="74">
        <f t="shared" si="9"/>
        <v>45298</v>
      </c>
      <c r="B30" s="74"/>
      <c r="C30" s="76">
        <f t="shared" si="2"/>
        <v>45298</v>
      </c>
      <c r="D30" s="76"/>
      <c r="E30" s="77" t="s">
        <v>68</v>
      </c>
      <c r="F30" s="77"/>
      <c r="G30" s="77"/>
      <c r="H30" s="77"/>
      <c r="I30" s="78"/>
      <c r="J30" s="79"/>
      <c r="K30" s="80"/>
      <c r="L30" s="78"/>
      <c r="M30" s="79"/>
      <c r="N30" s="80"/>
      <c r="O30" s="91"/>
      <c r="P30" s="92"/>
      <c r="Q30" s="93"/>
      <c r="R30" s="91"/>
      <c r="S30" s="92"/>
      <c r="T30" s="93"/>
      <c r="U30" s="91"/>
      <c r="V30" s="92"/>
      <c r="W30" s="93"/>
      <c r="X30" s="43">
        <f t="shared" si="3"/>
        <v>0</v>
      </c>
      <c r="Y30" s="45"/>
      <c r="Z30" s="81">
        <f t="shared" si="4"/>
        <v>0</v>
      </c>
      <c r="AA30" s="81"/>
      <c r="AB30" s="82">
        <f t="shared" si="0"/>
        <v>0</v>
      </c>
      <c r="AC30" s="81"/>
      <c r="AD30" s="82">
        <f t="shared" si="1"/>
        <v>0</v>
      </c>
      <c r="AE30" s="81"/>
      <c r="AF30" s="82">
        <f t="shared" si="5"/>
        <v>0</v>
      </c>
      <c r="AG30" s="81"/>
      <c r="AH30" s="82">
        <f t="shared" si="6"/>
        <v>0</v>
      </c>
      <c r="AI30" s="81"/>
      <c r="AJ30" s="82">
        <f t="shared" si="10"/>
        <v>0</v>
      </c>
      <c r="AK30" s="81"/>
      <c r="AL30" s="83"/>
      <c r="AM30" s="84"/>
      <c r="AN30" s="82">
        <f t="shared" si="7"/>
        <v>0</v>
      </c>
      <c r="AO30" s="81"/>
      <c r="AP30" s="85"/>
      <c r="AQ30" s="86" t="str">
        <f t="shared" si="8"/>
        <v xml:space="preserve"> </v>
      </c>
      <c r="AR30" s="87"/>
      <c r="AS30" s="86" t="str">
        <f t="shared" si="11"/>
        <v xml:space="preserve"> </v>
      </c>
      <c r="AT30" s="87"/>
    </row>
    <row r="31" spans="1:48" ht="18" customHeight="1">
      <c r="A31" s="74">
        <f t="shared" si="9"/>
        <v>45299</v>
      </c>
      <c r="B31" s="74"/>
      <c r="C31" s="76">
        <f t="shared" si="2"/>
        <v>45299</v>
      </c>
      <c r="D31" s="76"/>
      <c r="E31" s="77" t="s">
        <v>68</v>
      </c>
      <c r="F31" s="77"/>
      <c r="G31" s="77"/>
      <c r="H31" s="77"/>
      <c r="I31" s="78"/>
      <c r="J31" s="79"/>
      <c r="K31" s="80"/>
      <c r="L31" s="78"/>
      <c r="M31" s="79"/>
      <c r="N31" s="80"/>
      <c r="O31" s="91"/>
      <c r="P31" s="92"/>
      <c r="Q31" s="93"/>
      <c r="R31" s="91"/>
      <c r="S31" s="92"/>
      <c r="T31" s="93"/>
      <c r="U31" s="91"/>
      <c r="V31" s="92"/>
      <c r="W31" s="93"/>
      <c r="X31" s="43">
        <f t="shared" si="3"/>
        <v>0</v>
      </c>
      <c r="Y31" s="45"/>
      <c r="Z31" s="81">
        <f t="shared" si="4"/>
        <v>0</v>
      </c>
      <c r="AA31" s="81"/>
      <c r="AB31" s="82">
        <f t="shared" si="0"/>
        <v>0</v>
      </c>
      <c r="AC31" s="81"/>
      <c r="AD31" s="82">
        <f t="shared" si="1"/>
        <v>0</v>
      </c>
      <c r="AE31" s="81"/>
      <c r="AF31" s="82">
        <f t="shared" si="5"/>
        <v>0</v>
      </c>
      <c r="AG31" s="81"/>
      <c r="AH31" s="82">
        <f t="shared" si="6"/>
        <v>0</v>
      </c>
      <c r="AI31" s="81"/>
      <c r="AJ31" s="82">
        <f t="shared" si="10"/>
        <v>0</v>
      </c>
      <c r="AK31" s="81"/>
      <c r="AL31" s="83"/>
      <c r="AM31" s="84"/>
      <c r="AN31" s="82">
        <f t="shared" si="7"/>
        <v>0</v>
      </c>
      <c r="AO31" s="81"/>
      <c r="AP31" s="85"/>
      <c r="AQ31" s="86" t="str">
        <f t="shared" si="8"/>
        <v xml:space="preserve"> </v>
      </c>
      <c r="AR31" s="87"/>
      <c r="AS31" s="86" t="str">
        <f t="shared" si="11"/>
        <v xml:space="preserve"> </v>
      </c>
      <c r="AT31" s="87"/>
    </row>
    <row r="32" spans="1:48" ht="18" customHeight="1">
      <c r="A32" s="74">
        <f t="shared" si="9"/>
        <v>45300</v>
      </c>
      <c r="B32" s="74"/>
      <c r="C32" s="76">
        <f t="shared" si="2"/>
        <v>45300</v>
      </c>
      <c r="D32" s="76"/>
      <c r="E32" s="77" t="s">
        <v>67</v>
      </c>
      <c r="F32" s="77"/>
      <c r="G32" s="77"/>
      <c r="H32" s="77"/>
      <c r="I32" s="78"/>
      <c r="J32" s="79"/>
      <c r="K32" s="80"/>
      <c r="L32" s="78"/>
      <c r="M32" s="79"/>
      <c r="N32" s="80"/>
      <c r="O32" s="91"/>
      <c r="P32" s="92"/>
      <c r="Q32" s="93"/>
      <c r="R32" s="91"/>
      <c r="S32" s="92"/>
      <c r="T32" s="93"/>
      <c r="U32" s="91"/>
      <c r="V32" s="92"/>
      <c r="W32" s="93"/>
      <c r="X32" s="43">
        <f t="shared" si="3"/>
        <v>0</v>
      </c>
      <c r="Y32" s="45"/>
      <c r="Z32" s="81">
        <f t="shared" si="4"/>
        <v>0</v>
      </c>
      <c r="AA32" s="81"/>
      <c r="AB32" s="82">
        <f t="shared" si="0"/>
        <v>0</v>
      </c>
      <c r="AC32" s="81"/>
      <c r="AD32" s="82">
        <f t="shared" si="1"/>
        <v>0</v>
      </c>
      <c r="AE32" s="81"/>
      <c r="AF32" s="82">
        <f t="shared" si="5"/>
        <v>0</v>
      </c>
      <c r="AG32" s="81"/>
      <c r="AH32" s="82">
        <f t="shared" si="6"/>
        <v>0</v>
      </c>
      <c r="AI32" s="81"/>
      <c r="AJ32" s="82">
        <f t="shared" si="10"/>
        <v>0</v>
      </c>
      <c r="AK32" s="81"/>
      <c r="AL32" s="83"/>
      <c r="AM32" s="84"/>
      <c r="AN32" s="82">
        <f t="shared" si="7"/>
        <v>0</v>
      </c>
      <c r="AO32" s="81"/>
      <c r="AP32" s="85"/>
      <c r="AQ32" s="86" t="str">
        <f t="shared" si="8"/>
        <v xml:space="preserve"> </v>
      </c>
      <c r="AR32" s="87"/>
      <c r="AS32" s="86" t="str">
        <f t="shared" si="11"/>
        <v xml:space="preserve"> </v>
      </c>
      <c r="AT32" s="87"/>
    </row>
    <row r="33" spans="1:46" ht="18" customHeight="1">
      <c r="A33" s="74">
        <f t="shared" si="9"/>
        <v>45301</v>
      </c>
      <c r="B33" s="74"/>
      <c r="C33" s="76">
        <f t="shared" si="2"/>
        <v>45301</v>
      </c>
      <c r="D33" s="76"/>
      <c r="E33" s="77" t="s">
        <v>68</v>
      </c>
      <c r="F33" s="77"/>
      <c r="G33" s="77"/>
      <c r="H33" s="77"/>
      <c r="I33" s="78"/>
      <c r="J33" s="79"/>
      <c r="K33" s="80"/>
      <c r="L33" s="78"/>
      <c r="M33" s="79"/>
      <c r="N33" s="80"/>
      <c r="O33" s="91"/>
      <c r="P33" s="92"/>
      <c r="Q33" s="93"/>
      <c r="R33" s="91"/>
      <c r="S33" s="92"/>
      <c r="T33" s="93"/>
      <c r="U33" s="91"/>
      <c r="V33" s="92"/>
      <c r="W33" s="93"/>
      <c r="X33" s="43">
        <f t="shared" si="3"/>
        <v>0</v>
      </c>
      <c r="Y33" s="45"/>
      <c r="Z33" s="81">
        <f t="shared" si="4"/>
        <v>0</v>
      </c>
      <c r="AA33" s="81"/>
      <c r="AB33" s="82">
        <f t="shared" si="0"/>
        <v>0</v>
      </c>
      <c r="AC33" s="81"/>
      <c r="AD33" s="82">
        <f t="shared" si="1"/>
        <v>0</v>
      </c>
      <c r="AE33" s="81"/>
      <c r="AF33" s="82">
        <f t="shared" si="5"/>
        <v>0</v>
      </c>
      <c r="AG33" s="81"/>
      <c r="AH33" s="82">
        <f t="shared" si="6"/>
        <v>0</v>
      </c>
      <c r="AI33" s="81"/>
      <c r="AJ33" s="82">
        <f t="shared" si="10"/>
        <v>0</v>
      </c>
      <c r="AK33" s="81"/>
      <c r="AL33" s="83"/>
      <c r="AM33" s="84"/>
      <c r="AN33" s="82">
        <f t="shared" si="7"/>
        <v>0</v>
      </c>
      <c r="AO33" s="81"/>
      <c r="AP33" s="85"/>
      <c r="AQ33" s="86" t="str">
        <f t="shared" si="8"/>
        <v xml:space="preserve"> </v>
      </c>
      <c r="AR33" s="87"/>
      <c r="AS33" s="86" t="str">
        <f t="shared" si="11"/>
        <v xml:space="preserve"> </v>
      </c>
      <c r="AT33" s="87"/>
    </row>
    <row r="34" spans="1:46" ht="18" customHeight="1">
      <c r="A34" s="74">
        <f t="shared" si="9"/>
        <v>45302</v>
      </c>
      <c r="B34" s="74"/>
      <c r="C34" s="76">
        <f t="shared" si="2"/>
        <v>45302</v>
      </c>
      <c r="D34" s="76"/>
      <c r="E34" s="77" t="s">
        <v>67</v>
      </c>
      <c r="F34" s="77"/>
      <c r="G34" s="77"/>
      <c r="H34" s="77"/>
      <c r="I34" s="78"/>
      <c r="J34" s="79"/>
      <c r="K34" s="80"/>
      <c r="L34" s="78"/>
      <c r="M34" s="79"/>
      <c r="N34" s="80"/>
      <c r="O34" s="91"/>
      <c r="P34" s="92"/>
      <c r="Q34" s="93"/>
      <c r="R34" s="91"/>
      <c r="S34" s="92"/>
      <c r="T34" s="93"/>
      <c r="U34" s="91"/>
      <c r="V34" s="92"/>
      <c r="W34" s="93"/>
      <c r="X34" s="43">
        <f t="shared" si="3"/>
        <v>0</v>
      </c>
      <c r="Y34" s="45"/>
      <c r="Z34" s="81">
        <f t="shared" si="4"/>
        <v>0</v>
      </c>
      <c r="AA34" s="81"/>
      <c r="AB34" s="82">
        <f t="shared" si="0"/>
        <v>0</v>
      </c>
      <c r="AC34" s="81"/>
      <c r="AD34" s="82">
        <f t="shared" si="1"/>
        <v>0</v>
      </c>
      <c r="AE34" s="81"/>
      <c r="AF34" s="82">
        <f t="shared" si="5"/>
        <v>0</v>
      </c>
      <c r="AG34" s="81"/>
      <c r="AH34" s="82">
        <f t="shared" si="6"/>
        <v>0</v>
      </c>
      <c r="AI34" s="81"/>
      <c r="AJ34" s="82">
        <f t="shared" si="10"/>
        <v>0</v>
      </c>
      <c r="AK34" s="81"/>
      <c r="AL34" s="83"/>
      <c r="AM34" s="84"/>
      <c r="AN34" s="82">
        <f t="shared" si="7"/>
        <v>0</v>
      </c>
      <c r="AO34" s="81"/>
      <c r="AP34" s="85"/>
      <c r="AQ34" s="86" t="str">
        <f t="shared" si="8"/>
        <v xml:space="preserve"> </v>
      </c>
      <c r="AR34" s="87"/>
      <c r="AS34" s="86" t="str">
        <f t="shared" si="11"/>
        <v xml:space="preserve"> </v>
      </c>
      <c r="AT34" s="87"/>
    </row>
    <row r="35" spans="1:46" ht="18" customHeight="1">
      <c r="A35" s="74">
        <f t="shared" si="9"/>
        <v>45303</v>
      </c>
      <c r="B35" s="74"/>
      <c r="C35" s="76">
        <f t="shared" si="2"/>
        <v>45303</v>
      </c>
      <c r="D35" s="76"/>
      <c r="E35" s="77" t="s">
        <v>67</v>
      </c>
      <c r="F35" s="77"/>
      <c r="G35" s="77"/>
      <c r="H35" s="77"/>
      <c r="I35" s="78"/>
      <c r="J35" s="79"/>
      <c r="K35" s="80"/>
      <c r="L35" s="78"/>
      <c r="M35" s="79"/>
      <c r="N35" s="80"/>
      <c r="O35" s="91"/>
      <c r="P35" s="92"/>
      <c r="Q35" s="93"/>
      <c r="R35" s="91"/>
      <c r="S35" s="92"/>
      <c r="T35" s="93"/>
      <c r="U35" s="91"/>
      <c r="V35" s="92"/>
      <c r="W35" s="93"/>
      <c r="X35" s="43">
        <f t="shared" si="3"/>
        <v>0</v>
      </c>
      <c r="Y35" s="45"/>
      <c r="Z35" s="81">
        <f t="shared" si="4"/>
        <v>0</v>
      </c>
      <c r="AA35" s="81"/>
      <c r="AB35" s="82">
        <f t="shared" si="0"/>
        <v>0</v>
      </c>
      <c r="AC35" s="81"/>
      <c r="AD35" s="82">
        <f t="shared" si="1"/>
        <v>0</v>
      </c>
      <c r="AE35" s="81"/>
      <c r="AF35" s="82">
        <f t="shared" si="5"/>
        <v>0</v>
      </c>
      <c r="AG35" s="81"/>
      <c r="AH35" s="82">
        <f t="shared" si="6"/>
        <v>0</v>
      </c>
      <c r="AI35" s="81"/>
      <c r="AJ35" s="82">
        <f t="shared" si="10"/>
        <v>0</v>
      </c>
      <c r="AK35" s="81"/>
      <c r="AL35" s="83"/>
      <c r="AM35" s="84"/>
      <c r="AN35" s="82">
        <f t="shared" si="7"/>
        <v>0</v>
      </c>
      <c r="AO35" s="81"/>
      <c r="AP35" s="85"/>
      <c r="AQ35" s="86" t="str">
        <f t="shared" si="8"/>
        <v xml:space="preserve"> </v>
      </c>
      <c r="AR35" s="87"/>
      <c r="AS35" s="86" t="str">
        <f t="shared" si="11"/>
        <v xml:space="preserve"> </v>
      </c>
      <c r="AT35" s="87"/>
    </row>
    <row r="36" spans="1:46" ht="18" customHeight="1">
      <c r="A36" s="74">
        <f t="shared" si="9"/>
        <v>45304</v>
      </c>
      <c r="B36" s="74"/>
      <c r="C36" s="76">
        <f t="shared" si="2"/>
        <v>45304</v>
      </c>
      <c r="D36" s="76"/>
      <c r="E36" s="77" t="s">
        <v>67</v>
      </c>
      <c r="F36" s="77"/>
      <c r="G36" s="77"/>
      <c r="H36" s="77"/>
      <c r="I36" s="78"/>
      <c r="J36" s="79"/>
      <c r="K36" s="80"/>
      <c r="L36" s="78"/>
      <c r="M36" s="79"/>
      <c r="N36" s="80"/>
      <c r="O36" s="91"/>
      <c r="P36" s="92"/>
      <c r="Q36" s="93"/>
      <c r="R36" s="91"/>
      <c r="S36" s="92"/>
      <c r="T36" s="93"/>
      <c r="U36" s="91"/>
      <c r="V36" s="92"/>
      <c r="W36" s="93"/>
      <c r="X36" s="43">
        <f t="shared" si="3"/>
        <v>0</v>
      </c>
      <c r="Y36" s="45"/>
      <c r="Z36" s="81">
        <f t="shared" si="4"/>
        <v>0</v>
      </c>
      <c r="AA36" s="81"/>
      <c r="AB36" s="82">
        <f t="shared" si="0"/>
        <v>0</v>
      </c>
      <c r="AC36" s="81"/>
      <c r="AD36" s="82">
        <f t="shared" si="1"/>
        <v>0</v>
      </c>
      <c r="AE36" s="81"/>
      <c r="AF36" s="82">
        <f t="shared" si="5"/>
        <v>0</v>
      </c>
      <c r="AG36" s="81"/>
      <c r="AH36" s="82">
        <f t="shared" si="6"/>
        <v>0</v>
      </c>
      <c r="AI36" s="81"/>
      <c r="AJ36" s="82">
        <f t="shared" si="10"/>
        <v>0</v>
      </c>
      <c r="AK36" s="81"/>
      <c r="AL36" s="83"/>
      <c r="AM36" s="84"/>
      <c r="AN36" s="82">
        <f t="shared" si="7"/>
        <v>0</v>
      </c>
      <c r="AO36" s="81"/>
      <c r="AP36" s="85"/>
      <c r="AQ36" s="86" t="str">
        <f t="shared" si="8"/>
        <v xml:space="preserve"> </v>
      </c>
      <c r="AR36" s="87"/>
      <c r="AS36" s="86" t="str">
        <f t="shared" si="11"/>
        <v xml:space="preserve"> </v>
      </c>
      <c r="AT36" s="87"/>
    </row>
    <row r="37" spans="1:46" ht="18" customHeight="1">
      <c r="A37" s="74">
        <f>A36+1</f>
        <v>45305</v>
      </c>
      <c r="B37" s="74"/>
      <c r="C37" s="76">
        <f t="shared" si="2"/>
        <v>45305</v>
      </c>
      <c r="D37" s="76"/>
      <c r="E37" s="77" t="s">
        <v>68</v>
      </c>
      <c r="F37" s="77"/>
      <c r="G37" s="77"/>
      <c r="H37" s="77"/>
      <c r="I37" s="78"/>
      <c r="J37" s="79"/>
      <c r="K37" s="80"/>
      <c r="L37" s="78"/>
      <c r="M37" s="79"/>
      <c r="N37" s="80"/>
      <c r="O37" s="91"/>
      <c r="P37" s="92"/>
      <c r="Q37" s="93"/>
      <c r="R37" s="91"/>
      <c r="S37" s="92"/>
      <c r="T37" s="93"/>
      <c r="U37" s="91"/>
      <c r="V37" s="92"/>
      <c r="W37" s="93"/>
      <c r="X37" s="43">
        <f t="shared" si="3"/>
        <v>0</v>
      </c>
      <c r="Y37" s="45"/>
      <c r="Z37" s="81">
        <f t="shared" si="4"/>
        <v>0</v>
      </c>
      <c r="AA37" s="81"/>
      <c r="AB37" s="82">
        <f t="shared" si="0"/>
        <v>0</v>
      </c>
      <c r="AC37" s="81"/>
      <c r="AD37" s="82">
        <f t="shared" si="1"/>
        <v>0</v>
      </c>
      <c r="AE37" s="81"/>
      <c r="AF37" s="82">
        <f t="shared" si="5"/>
        <v>0</v>
      </c>
      <c r="AG37" s="81"/>
      <c r="AH37" s="82">
        <f t="shared" si="6"/>
        <v>0</v>
      </c>
      <c r="AI37" s="81"/>
      <c r="AJ37" s="82">
        <f t="shared" si="10"/>
        <v>0</v>
      </c>
      <c r="AK37" s="81"/>
      <c r="AL37" s="83"/>
      <c r="AM37" s="84"/>
      <c r="AN37" s="82">
        <f t="shared" si="7"/>
        <v>0</v>
      </c>
      <c r="AO37" s="81"/>
      <c r="AP37" s="85"/>
      <c r="AQ37" s="86" t="str">
        <f t="shared" si="8"/>
        <v xml:space="preserve"> </v>
      </c>
      <c r="AR37" s="87"/>
      <c r="AS37" s="86" t="str">
        <f t="shared" si="11"/>
        <v xml:space="preserve"> </v>
      </c>
      <c r="AT37" s="87"/>
    </row>
    <row r="38" spans="1:46" ht="18" customHeight="1">
      <c r="A38" s="74">
        <f>A37+1</f>
        <v>45306</v>
      </c>
      <c r="B38" s="74"/>
      <c r="C38" s="76">
        <f t="shared" si="2"/>
        <v>45306</v>
      </c>
      <c r="D38" s="76"/>
      <c r="E38" s="77" t="s">
        <v>67</v>
      </c>
      <c r="F38" s="77"/>
      <c r="G38" s="77"/>
      <c r="H38" s="77"/>
      <c r="I38" s="78"/>
      <c r="J38" s="79"/>
      <c r="K38" s="80"/>
      <c r="L38" s="78"/>
      <c r="M38" s="79"/>
      <c r="N38" s="80"/>
      <c r="O38" s="91"/>
      <c r="P38" s="92"/>
      <c r="Q38" s="93"/>
      <c r="R38" s="91"/>
      <c r="S38" s="92"/>
      <c r="T38" s="93"/>
      <c r="U38" s="91"/>
      <c r="V38" s="92"/>
      <c r="W38" s="93"/>
      <c r="X38" s="43">
        <f t="shared" si="3"/>
        <v>0</v>
      </c>
      <c r="Y38" s="45"/>
      <c r="Z38" s="81">
        <f t="shared" si="4"/>
        <v>0</v>
      </c>
      <c r="AA38" s="81"/>
      <c r="AB38" s="82">
        <f t="shared" si="0"/>
        <v>0</v>
      </c>
      <c r="AC38" s="81"/>
      <c r="AD38" s="82">
        <f t="shared" si="1"/>
        <v>0</v>
      </c>
      <c r="AE38" s="81"/>
      <c r="AF38" s="82">
        <f t="shared" si="5"/>
        <v>0</v>
      </c>
      <c r="AG38" s="81"/>
      <c r="AH38" s="82">
        <f t="shared" si="6"/>
        <v>0</v>
      </c>
      <c r="AI38" s="81"/>
      <c r="AJ38" s="82">
        <f t="shared" si="10"/>
        <v>0</v>
      </c>
      <c r="AK38" s="81"/>
      <c r="AL38" s="83"/>
      <c r="AM38" s="84"/>
      <c r="AN38" s="82">
        <f t="shared" si="7"/>
        <v>0</v>
      </c>
      <c r="AO38" s="81"/>
      <c r="AP38" s="85"/>
      <c r="AQ38" s="86" t="str">
        <f t="shared" si="8"/>
        <v xml:space="preserve"> </v>
      </c>
      <c r="AR38" s="87"/>
      <c r="AS38" s="86" t="str">
        <f t="shared" si="11"/>
        <v xml:space="preserve"> </v>
      </c>
      <c r="AT38" s="87"/>
    </row>
    <row r="39" spans="1:46" ht="18" customHeight="1">
      <c r="A39" s="74">
        <f>A38+1</f>
        <v>45307</v>
      </c>
      <c r="B39" s="74"/>
      <c r="C39" s="76">
        <f t="shared" si="2"/>
        <v>45307</v>
      </c>
      <c r="D39" s="76"/>
      <c r="E39" s="77" t="s">
        <v>67</v>
      </c>
      <c r="F39" s="77"/>
      <c r="G39" s="77"/>
      <c r="H39" s="77"/>
      <c r="I39" s="78"/>
      <c r="J39" s="79"/>
      <c r="K39" s="80"/>
      <c r="L39" s="78"/>
      <c r="M39" s="79"/>
      <c r="N39" s="80"/>
      <c r="O39" s="91"/>
      <c r="P39" s="92"/>
      <c r="Q39" s="93"/>
      <c r="R39" s="91"/>
      <c r="S39" s="92"/>
      <c r="T39" s="93"/>
      <c r="U39" s="91"/>
      <c r="V39" s="92"/>
      <c r="W39" s="93"/>
      <c r="X39" s="43">
        <f t="shared" si="3"/>
        <v>0</v>
      </c>
      <c r="Y39" s="45"/>
      <c r="Z39" s="81">
        <f t="shared" si="4"/>
        <v>0</v>
      </c>
      <c r="AA39" s="81"/>
      <c r="AB39" s="82">
        <f t="shared" si="0"/>
        <v>0</v>
      </c>
      <c r="AC39" s="81"/>
      <c r="AD39" s="82">
        <f t="shared" si="1"/>
        <v>0</v>
      </c>
      <c r="AE39" s="81"/>
      <c r="AF39" s="82">
        <f t="shared" si="5"/>
        <v>0</v>
      </c>
      <c r="AG39" s="81"/>
      <c r="AH39" s="82">
        <f t="shared" si="6"/>
        <v>0</v>
      </c>
      <c r="AI39" s="81"/>
      <c r="AJ39" s="82">
        <f t="shared" si="10"/>
        <v>0</v>
      </c>
      <c r="AK39" s="81"/>
      <c r="AL39" s="83"/>
      <c r="AM39" s="84"/>
      <c r="AN39" s="82">
        <f>IF(E39="振休",0,(IF(E39="欠勤",0,(X39+Z39+AB39-AF39-AH39-AL39))))</f>
        <v>0</v>
      </c>
      <c r="AO39" s="81"/>
      <c r="AP39" s="85"/>
      <c r="AQ39" s="86" t="str">
        <f t="shared" si="8"/>
        <v xml:space="preserve"> </v>
      </c>
      <c r="AR39" s="87"/>
      <c r="AS39" s="86" t="str">
        <f t="shared" si="11"/>
        <v xml:space="preserve"> </v>
      </c>
      <c r="AT39" s="87"/>
    </row>
    <row r="40" spans="1:46" ht="18" customHeight="1">
      <c r="A40" s="74">
        <f>A39+1</f>
        <v>45308</v>
      </c>
      <c r="B40" s="74"/>
      <c r="C40" s="76">
        <f t="shared" si="2"/>
        <v>45308</v>
      </c>
      <c r="D40" s="76"/>
      <c r="E40" s="77" t="s">
        <v>68</v>
      </c>
      <c r="F40" s="77"/>
      <c r="G40" s="77"/>
      <c r="H40" s="77"/>
      <c r="I40" s="78"/>
      <c r="J40" s="79"/>
      <c r="K40" s="80"/>
      <c r="L40" s="78"/>
      <c r="M40" s="79"/>
      <c r="N40" s="80"/>
      <c r="O40" s="91"/>
      <c r="P40" s="92"/>
      <c r="Q40" s="93"/>
      <c r="R40" s="91"/>
      <c r="S40" s="92"/>
      <c r="T40" s="93"/>
      <c r="U40" s="91"/>
      <c r="V40" s="92"/>
      <c r="W40" s="93"/>
      <c r="X40" s="43">
        <f t="shared" si="3"/>
        <v>0</v>
      </c>
      <c r="Y40" s="45"/>
      <c r="Z40" s="81">
        <f t="shared" si="4"/>
        <v>0</v>
      </c>
      <c r="AA40" s="81"/>
      <c r="AB40" s="82">
        <f t="shared" si="0"/>
        <v>0</v>
      </c>
      <c r="AC40" s="81"/>
      <c r="AD40" s="82">
        <f t="shared" si="1"/>
        <v>0</v>
      </c>
      <c r="AE40" s="81"/>
      <c r="AF40" s="82">
        <f t="shared" si="5"/>
        <v>0</v>
      </c>
      <c r="AG40" s="81"/>
      <c r="AH40" s="82">
        <f t="shared" si="6"/>
        <v>0</v>
      </c>
      <c r="AI40" s="81"/>
      <c r="AJ40" s="82">
        <f t="shared" si="10"/>
        <v>0</v>
      </c>
      <c r="AK40" s="81"/>
      <c r="AL40" s="83"/>
      <c r="AM40" s="84"/>
      <c r="AN40" s="82">
        <f t="shared" si="7"/>
        <v>0</v>
      </c>
      <c r="AO40" s="81"/>
      <c r="AP40" s="85"/>
      <c r="AQ40" s="86" t="str">
        <f t="shared" si="8"/>
        <v xml:space="preserve"> </v>
      </c>
      <c r="AR40" s="87"/>
      <c r="AS40" s="86" t="str">
        <f t="shared" si="11"/>
        <v xml:space="preserve"> </v>
      </c>
      <c r="AT40" s="87"/>
    </row>
    <row r="41" spans="1:46" ht="18" customHeight="1">
      <c r="A41" s="74">
        <f t="shared" ref="A41:A43" si="12">A40+1</f>
        <v>45309</v>
      </c>
      <c r="B41" s="74"/>
      <c r="C41" s="76">
        <f t="shared" si="2"/>
        <v>45309</v>
      </c>
      <c r="D41" s="76"/>
      <c r="E41" s="77" t="s">
        <v>67</v>
      </c>
      <c r="F41" s="77"/>
      <c r="G41" s="77"/>
      <c r="H41" s="77"/>
      <c r="I41" s="78"/>
      <c r="J41" s="79"/>
      <c r="K41" s="80"/>
      <c r="L41" s="78"/>
      <c r="M41" s="79"/>
      <c r="N41" s="80"/>
      <c r="O41" s="91"/>
      <c r="P41" s="92"/>
      <c r="Q41" s="93"/>
      <c r="R41" s="91"/>
      <c r="S41" s="92"/>
      <c r="T41" s="93"/>
      <c r="U41" s="91"/>
      <c r="V41" s="92"/>
      <c r="W41" s="93"/>
      <c r="X41" s="43">
        <f t="shared" si="3"/>
        <v>0</v>
      </c>
      <c r="Y41" s="45"/>
      <c r="Z41" s="81">
        <f t="shared" si="4"/>
        <v>0</v>
      </c>
      <c r="AA41" s="81"/>
      <c r="AB41" s="82">
        <f t="shared" si="0"/>
        <v>0</v>
      </c>
      <c r="AC41" s="81"/>
      <c r="AD41" s="82">
        <f t="shared" si="1"/>
        <v>0</v>
      </c>
      <c r="AE41" s="81"/>
      <c r="AF41" s="82">
        <f t="shared" si="5"/>
        <v>0</v>
      </c>
      <c r="AG41" s="81"/>
      <c r="AH41" s="82">
        <f t="shared" si="6"/>
        <v>0</v>
      </c>
      <c r="AI41" s="81"/>
      <c r="AJ41" s="82">
        <f t="shared" si="10"/>
        <v>0</v>
      </c>
      <c r="AK41" s="81"/>
      <c r="AL41" s="83"/>
      <c r="AM41" s="84"/>
      <c r="AN41" s="82">
        <f t="shared" si="7"/>
        <v>0</v>
      </c>
      <c r="AO41" s="81"/>
      <c r="AP41" s="85"/>
      <c r="AQ41" s="86" t="str">
        <f t="shared" si="8"/>
        <v xml:space="preserve"> </v>
      </c>
      <c r="AR41" s="87"/>
      <c r="AS41" s="86" t="str">
        <f t="shared" si="11"/>
        <v xml:space="preserve"> </v>
      </c>
      <c r="AT41" s="87"/>
    </row>
    <row r="42" spans="1:46" ht="18" customHeight="1">
      <c r="A42" s="74">
        <f t="shared" si="12"/>
        <v>45310</v>
      </c>
      <c r="B42" s="74"/>
      <c r="C42" s="76">
        <f t="shared" si="2"/>
        <v>45310</v>
      </c>
      <c r="D42" s="76"/>
      <c r="E42" s="77" t="s">
        <v>67</v>
      </c>
      <c r="F42" s="77"/>
      <c r="G42" s="77"/>
      <c r="H42" s="77"/>
      <c r="I42" s="78"/>
      <c r="J42" s="79"/>
      <c r="K42" s="80"/>
      <c r="L42" s="78"/>
      <c r="M42" s="79"/>
      <c r="N42" s="80"/>
      <c r="O42" s="91"/>
      <c r="P42" s="92"/>
      <c r="Q42" s="93"/>
      <c r="R42" s="91"/>
      <c r="S42" s="92"/>
      <c r="T42" s="93"/>
      <c r="U42" s="91"/>
      <c r="V42" s="92"/>
      <c r="W42" s="93"/>
      <c r="X42" s="43">
        <f t="shared" si="3"/>
        <v>0</v>
      </c>
      <c r="Y42" s="45"/>
      <c r="Z42" s="81">
        <f t="shared" si="4"/>
        <v>0</v>
      </c>
      <c r="AA42" s="81"/>
      <c r="AB42" s="82">
        <f t="shared" si="0"/>
        <v>0</v>
      </c>
      <c r="AC42" s="81"/>
      <c r="AD42" s="82">
        <f t="shared" si="1"/>
        <v>0</v>
      </c>
      <c r="AE42" s="81"/>
      <c r="AF42" s="82">
        <f t="shared" si="5"/>
        <v>0</v>
      </c>
      <c r="AG42" s="81"/>
      <c r="AH42" s="82">
        <f t="shared" si="6"/>
        <v>0</v>
      </c>
      <c r="AI42" s="81"/>
      <c r="AJ42" s="82">
        <f t="shared" si="10"/>
        <v>0</v>
      </c>
      <c r="AK42" s="81"/>
      <c r="AL42" s="83"/>
      <c r="AM42" s="84"/>
      <c r="AN42" s="82">
        <f t="shared" si="7"/>
        <v>0</v>
      </c>
      <c r="AO42" s="81"/>
      <c r="AP42" s="85"/>
      <c r="AQ42" s="86" t="str">
        <f t="shared" si="8"/>
        <v xml:space="preserve"> </v>
      </c>
      <c r="AR42" s="87"/>
      <c r="AS42" s="86" t="str">
        <f t="shared" si="11"/>
        <v xml:space="preserve"> </v>
      </c>
      <c r="AT42" s="87"/>
    </row>
    <row r="43" spans="1:46" ht="18" customHeight="1">
      <c r="A43" s="74">
        <f t="shared" si="12"/>
        <v>45311</v>
      </c>
      <c r="B43" s="74"/>
      <c r="C43" s="75">
        <f>A43</f>
        <v>45311</v>
      </c>
      <c r="D43" s="76"/>
      <c r="E43" s="77" t="s">
        <v>67</v>
      </c>
      <c r="F43" s="77"/>
      <c r="G43" s="77"/>
      <c r="H43" s="77"/>
      <c r="I43" s="78"/>
      <c r="J43" s="79"/>
      <c r="K43" s="80"/>
      <c r="L43" s="78"/>
      <c r="M43" s="79"/>
      <c r="N43" s="80"/>
      <c r="O43" s="91"/>
      <c r="P43" s="92"/>
      <c r="Q43" s="93"/>
      <c r="R43" s="91"/>
      <c r="S43" s="92"/>
      <c r="T43" s="93"/>
      <c r="U43" s="91"/>
      <c r="V43" s="92"/>
      <c r="W43" s="93"/>
      <c r="X43" s="43">
        <f t="shared" si="3"/>
        <v>0</v>
      </c>
      <c r="Y43" s="45"/>
      <c r="Z43" s="81">
        <f t="shared" si="4"/>
        <v>0</v>
      </c>
      <c r="AA43" s="81"/>
      <c r="AB43" s="82">
        <f t="shared" si="0"/>
        <v>0</v>
      </c>
      <c r="AC43" s="81"/>
      <c r="AD43" s="82">
        <f t="shared" si="1"/>
        <v>0</v>
      </c>
      <c r="AE43" s="81"/>
      <c r="AF43" s="82">
        <f t="shared" si="5"/>
        <v>0</v>
      </c>
      <c r="AG43" s="81"/>
      <c r="AH43" s="82">
        <f t="shared" si="6"/>
        <v>0</v>
      </c>
      <c r="AI43" s="81"/>
      <c r="AJ43" s="82">
        <f t="shared" si="10"/>
        <v>0</v>
      </c>
      <c r="AK43" s="81"/>
      <c r="AL43" s="83"/>
      <c r="AM43" s="84"/>
      <c r="AN43" s="82">
        <f t="shared" si="7"/>
        <v>0</v>
      </c>
      <c r="AO43" s="81"/>
      <c r="AP43" s="85"/>
      <c r="AQ43" s="86" t="str">
        <f t="shared" si="8"/>
        <v xml:space="preserve"> </v>
      </c>
      <c r="AR43" s="87"/>
      <c r="AS43" s="86" t="str">
        <f t="shared" si="11"/>
        <v xml:space="preserve"> </v>
      </c>
      <c r="AT43" s="87"/>
    </row>
    <row r="44" spans="1:46" ht="18" customHeight="1">
      <c r="AO44" s="90"/>
      <c r="AP44" s="90"/>
    </row>
    <row r="45" spans="1:46" ht="18" customHeight="1">
      <c r="AO45" s="90"/>
      <c r="AP45" s="90"/>
    </row>
    <row r="46" spans="1:46" ht="18" customHeight="1">
      <c r="AO46" s="90"/>
      <c r="AP46" s="90"/>
    </row>
    <row r="47" spans="1:46" ht="18" customHeight="1">
      <c r="AO47" s="90"/>
      <c r="AP47" s="90"/>
    </row>
    <row r="48" spans="1:46" ht="18" customHeight="1">
      <c r="AO48" s="90"/>
      <c r="AP48" s="90"/>
    </row>
    <row r="49" spans="41:42" ht="18" customHeight="1">
      <c r="AO49" s="90"/>
      <c r="AP49" s="90"/>
    </row>
    <row r="50" spans="41:42" ht="18" customHeight="1">
      <c r="AO50" s="90"/>
      <c r="AP50" s="90"/>
    </row>
    <row r="51" spans="41:42" ht="18" customHeight="1">
      <c r="AO51" s="90"/>
      <c r="AP51" s="90"/>
    </row>
    <row r="52" spans="41:42" ht="18" customHeight="1">
      <c r="AO52" s="90"/>
      <c r="AP52" s="90"/>
    </row>
    <row r="53" spans="41:42" ht="18" customHeight="1">
      <c r="AO53" s="90"/>
      <c r="AP53" s="90"/>
    </row>
    <row r="54" spans="41:42" ht="18" customHeight="1">
      <c r="AO54" s="90"/>
      <c r="AP54" s="90"/>
    </row>
    <row r="55" spans="41:42" ht="18" customHeight="1">
      <c r="AO55" s="90"/>
      <c r="AP55" s="90"/>
    </row>
    <row r="56" spans="41:42" ht="18" customHeight="1">
      <c r="AO56" s="90"/>
      <c r="AP56" s="90"/>
    </row>
    <row r="57" spans="41:42" ht="18" customHeight="1">
      <c r="AO57" s="90"/>
      <c r="AP57" s="90"/>
    </row>
    <row r="58" spans="41:42" ht="18" customHeight="1">
      <c r="AO58" s="90"/>
      <c r="AP58" s="90"/>
    </row>
    <row r="59" spans="41:42" ht="18" customHeight="1">
      <c r="AO59" s="90"/>
      <c r="AP59" s="90"/>
    </row>
    <row r="60" spans="41:42" ht="18" customHeight="1">
      <c r="AO60" s="90"/>
      <c r="AP60" s="90"/>
    </row>
    <row r="61" spans="41:42" ht="18" customHeight="1">
      <c r="AO61" s="90"/>
      <c r="AP61" s="90"/>
    </row>
    <row r="62" spans="41:42" ht="18" customHeight="1">
      <c r="AO62" s="90"/>
      <c r="AP62" s="90"/>
    </row>
    <row r="63" spans="41:42" ht="18" customHeight="1">
      <c r="AO63" s="90"/>
      <c r="AP63" s="90"/>
    </row>
    <row r="64" spans="41:42" ht="18" customHeight="1">
      <c r="AO64" s="90"/>
      <c r="AP64" s="90"/>
    </row>
    <row r="65" spans="41:42" ht="18" customHeight="1">
      <c r="AO65" s="90"/>
      <c r="AP65" s="90"/>
    </row>
    <row r="66" spans="41:42" ht="18" customHeight="1">
      <c r="AO66" s="90"/>
      <c r="AP66" s="90"/>
    </row>
    <row r="67" spans="41:42" ht="18" customHeight="1">
      <c r="AO67" s="90"/>
      <c r="AP67" s="90"/>
    </row>
    <row r="68" spans="41:42" ht="18" customHeight="1">
      <c r="AO68" s="90"/>
      <c r="AP68" s="90"/>
    </row>
    <row r="69" spans="41:42" ht="18" customHeight="1">
      <c r="AO69" s="90"/>
      <c r="AP69" s="90"/>
    </row>
    <row r="70" spans="41:42" ht="18" customHeight="1">
      <c r="AO70" s="90"/>
      <c r="AP70" s="90"/>
    </row>
    <row r="71" spans="41:42" ht="18" customHeight="1">
      <c r="AO71" s="90"/>
      <c r="AP71" s="90"/>
    </row>
    <row r="72" spans="41:42" ht="18" customHeight="1">
      <c r="AO72" s="90"/>
      <c r="AP72" s="90"/>
    </row>
    <row r="73" spans="41:42" ht="18" customHeight="1">
      <c r="AO73" s="90"/>
      <c r="AP73" s="90"/>
    </row>
    <row r="74" spans="41:42" ht="18" customHeight="1">
      <c r="AO74" s="90"/>
      <c r="AP74" s="90"/>
    </row>
    <row r="75" spans="41:42" ht="18" customHeight="1">
      <c r="AO75" s="90"/>
      <c r="AP75" s="90"/>
    </row>
    <row r="76" spans="41:42" ht="18" customHeight="1">
      <c r="AO76" s="90"/>
      <c r="AP76" s="90"/>
    </row>
    <row r="77" spans="41:42" ht="18" customHeight="1">
      <c r="AO77" s="90"/>
      <c r="AP77" s="90"/>
    </row>
    <row r="78" spans="41:42" ht="18" customHeight="1">
      <c r="AO78" s="90"/>
      <c r="AP78" s="90"/>
    </row>
    <row r="79" spans="41:42" ht="18" customHeight="1">
      <c r="AO79" s="90"/>
      <c r="AP79" s="90"/>
    </row>
    <row r="80" spans="41:42" ht="18" customHeight="1">
      <c r="AO80" s="90"/>
      <c r="AP80" s="90"/>
    </row>
    <row r="81" spans="41:42" ht="18" customHeight="1">
      <c r="AO81" s="90"/>
      <c r="AP81" s="90"/>
    </row>
    <row r="82" spans="41:42" ht="18" customHeight="1">
      <c r="AO82" s="90"/>
      <c r="AP82" s="90"/>
    </row>
    <row r="83" spans="41:42" ht="18" customHeight="1">
      <c r="AO83" s="90"/>
      <c r="AP83" s="90"/>
    </row>
    <row r="84" spans="41:42" ht="18" customHeight="1">
      <c r="AO84" s="90"/>
      <c r="AP84" s="90"/>
    </row>
    <row r="85" spans="41:42" ht="18" customHeight="1">
      <c r="AO85" s="90"/>
      <c r="AP85" s="90"/>
    </row>
    <row r="86" spans="41:42" ht="18" customHeight="1">
      <c r="AO86" s="90"/>
      <c r="AP86" s="90"/>
    </row>
    <row r="87" spans="41:42" ht="18" customHeight="1">
      <c r="AO87" s="90"/>
      <c r="AP87" s="90"/>
    </row>
    <row r="88" spans="41:42" ht="18" customHeight="1">
      <c r="AO88" s="90"/>
      <c r="AP88" s="90"/>
    </row>
    <row r="89" spans="41:42" ht="18" customHeight="1">
      <c r="AO89" s="90"/>
      <c r="AP89" s="90"/>
    </row>
    <row r="90" spans="41:42" ht="18" customHeight="1">
      <c r="AO90" s="90"/>
      <c r="AP90" s="90"/>
    </row>
    <row r="91" spans="41:42" ht="18" customHeight="1">
      <c r="AO91" s="90"/>
      <c r="AP91" s="90"/>
    </row>
    <row r="92" spans="41:42" ht="18" customHeight="1">
      <c r="AO92" s="90"/>
      <c r="AP92" s="90"/>
    </row>
    <row r="93" spans="41:42" ht="18" customHeight="1">
      <c r="AO93" s="90"/>
      <c r="AP93" s="90"/>
    </row>
    <row r="94" spans="41:42" ht="18" customHeight="1">
      <c r="AO94" s="90"/>
      <c r="AP94" s="90"/>
    </row>
    <row r="95" spans="41:42" ht="18" customHeight="1">
      <c r="AO95" s="90"/>
      <c r="AP95" s="90"/>
    </row>
    <row r="96" spans="41:42" ht="18" customHeight="1">
      <c r="AO96" s="90"/>
      <c r="AP96" s="90"/>
    </row>
    <row r="97" spans="41:42" ht="18" customHeight="1">
      <c r="AO97" s="90"/>
      <c r="AP97" s="90"/>
    </row>
    <row r="98" spans="41:42" ht="18" customHeight="1">
      <c r="AO98" s="90"/>
      <c r="AP98" s="90"/>
    </row>
    <row r="99" spans="41:42" ht="18" customHeight="1">
      <c r="AO99" s="90"/>
      <c r="AP99" s="90"/>
    </row>
    <row r="100" spans="41:42" ht="18" customHeight="1">
      <c r="AO100" s="90"/>
      <c r="AP100" s="90"/>
    </row>
    <row r="101" spans="41:42" ht="18" customHeight="1">
      <c r="AO101" s="90"/>
      <c r="AP101" s="90"/>
    </row>
    <row r="102" spans="41:42" ht="18" customHeight="1">
      <c r="AO102" s="90"/>
      <c r="AP102" s="90"/>
    </row>
    <row r="103" spans="41:42" ht="18" customHeight="1">
      <c r="AO103" s="90"/>
      <c r="AP103" s="90"/>
    </row>
    <row r="104" spans="41:42" ht="18" customHeight="1">
      <c r="AO104" s="90"/>
      <c r="AP104" s="90"/>
    </row>
    <row r="105" spans="41:42" ht="18" customHeight="1">
      <c r="AO105" s="90"/>
      <c r="AP105" s="90"/>
    </row>
    <row r="106" spans="41:42" ht="18" customHeight="1">
      <c r="AO106" s="90"/>
      <c r="AP106" s="90"/>
    </row>
    <row r="107" spans="41:42" ht="18" customHeight="1">
      <c r="AO107" s="90"/>
      <c r="AP107" s="90"/>
    </row>
    <row r="108" spans="41:42" ht="18" customHeight="1">
      <c r="AO108" s="90"/>
      <c r="AP108" s="90"/>
    </row>
    <row r="109" spans="41:42" ht="18" customHeight="1">
      <c r="AO109" s="90"/>
      <c r="AP109" s="90"/>
    </row>
    <row r="110" spans="41:42" ht="18" customHeight="1">
      <c r="AO110" s="90"/>
      <c r="AP110" s="90"/>
    </row>
    <row r="111" spans="41:42" ht="18" customHeight="1">
      <c r="AO111" s="90"/>
      <c r="AP111" s="90"/>
    </row>
    <row r="112" spans="41:42" ht="18" customHeight="1">
      <c r="AO112" s="90"/>
      <c r="AP112" s="90"/>
    </row>
    <row r="113" spans="41:42" ht="18" customHeight="1">
      <c r="AO113" s="90"/>
      <c r="AP113" s="90"/>
    </row>
    <row r="114" spans="41:42" ht="18" customHeight="1">
      <c r="AO114" s="90"/>
      <c r="AP114" s="90"/>
    </row>
    <row r="115" spans="41:42" ht="18" customHeight="1">
      <c r="AO115" s="90"/>
      <c r="AP115" s="90"/>
    </row>
    <row r="116" spans="41:42" ht="18" customHeight="1">
      <c r="AO116" s="90"/>
      <c r="AP116" s="90"/>
    </row>
    <row r="117" spans="41:42" ht="18" customHeight="1">
      <c r="AO117" s="90"/>
      <c r="AP117" s="90"/>
    </row>
    <row r="118" spans="41:42" ht="18" customHeight="1">
      <c r="AO118" s="90"/>
      <c r="AP118" s="90"/>
    </row>
    <row r="119" spans="41:42" ht="18" customHeight="1">
      <c r="AO119" s="90"/>
      <c r="AP119" s="90"/>
    </row>
    <row r="120" spans="41:42" ht="18" customHeight="1">
      <c r="AO120" s="90"/>
      <c r="AP120" s="90"/>
    </row>
    <row r="121" spans="41:42" ht="18" customHeight="1">
      <c r="AO121" s="90"/>
      <c r="AP121" s="90"/>
    </row>
    <row r="122" spans="41:42" ht="18" customHeight="1">
      <c r="AO122" s="90"/>
      <c r="AP122" s="90"/>
    </row>
    <row r="123" spans="41:42" ht="18" customHeight="1">
      <c r="AO123" s="90"/>
      <c r="AP123" s="90"/>
    </row>
    <row r="124" spans="41:42" ht="18" customHeight="1">
      <c r="AO124" s="90"/>
      <c r="AP124" s="90"/>
    </row>
    <row r="125" spans="41:42" ht="18" customHeight="1">
      <c r="AO125" s="90"/>
      <c r="AP125" s="90"/>
    </row>
    <row r="126" spans="41:42" ht="18" customHeight="1">
      <c r="AO126" s="90"/>
      <c r="AP126" s="90"/>
    </row>
    <row r="127" spans="41:42" ht="18" customHeight="1">
      <c r="AO127" s="90"/>
      <c r="AP127" s="90"/>
    </row>
    <row r="128" spans="41:42" ht="18" customHeight="1">
      <c r="AO128" s="90"/>
      <c r="AP128" s="90"/>
    </row>
    <row r="129" spans="41:42" ht="18" customHeight="1">
      <c r="AO129" s="90"/>
      <c r="AP129" s="90"/>
    </row>
    <row r="130" spans="41:42" ht="18" customHeight="1">
      <c r="AO130" s="90"/>
      <c r="AP130" s="90"/>
    </row>
    <row r="131" spans="41:42" ht="18" customHeight="1">
      <c r="AO131" s="90"/>
      <c r="AP131" s="90"/>
    </row>
    <row r="132" spans="41:42" ht="18" customHeight="1">
      <c r="AO132" s="90"/>
      <c r="AP132" s="90"/>
    </row>
    <row r="133" spans="41:42" ht="18" customHeight="1">
      <c r="AO133" s="90"/>
      <c r="AP133" s="90"/>
    </row>
    <row r="134" spans="41:42" ht="18" customHeight="1">
      <c r="AO134" s="90"/>
      <c r="AP134" s="90"/>
    </row>
    <row r="135" spans="41:42" ht="18" customHeight="1">
      <c r="AO135" s="90"/>
      <c r="AP135" s="90"/>
    </row>
    <row r="136" spans="41:42" ht="18" customHeight="1">
      <c r="AO136" s="90"/>
      <c r="AP136" s="90"/>
    </row>
    <row r="137" spans="41:42" ht="18" customHeight="1">
      <c r="AO137" s="90"/>
      <c r="AP137" s="90"/>
    </row>
    <row r="138" spans="41:42" ht="18" customHeight="1">
      <c r="AO138" s="90"/>
      <c r="AP138" s="90"/>
    </row>
    <row r="139" spans="41:42" ht="18" customHeight="1">
      <c r="AO139" s="90"/>
      <c r="AP139" s="90"/>
    </row>
    <row r="140" spans="41:42" ht="18" customHeight="1">
      <c r="AO140" s="90"/>
      <c r="AP140" s="90"/>
    </row>
    <row r="141" spans="41:42" ht="18" customHeight="1">
      <c r="AO141" s="90"/>
      <c r="AP141" s="90"/>
    </row>
    <row r="142" spans="41:42" ht="18" customHeight="1">
      <c r="AO142" s="90"/>
      <c r="AP142" s="90"/>
    </row>
    <row r="143" spans="41:42" ht="18" customHeight="1">
      <c r="AO143" s="90"/>
      <c r="AP143" s="90"/>
    </row>
    <row r="144" spans="41:42" ht="18" customHeight="1">
      <c r="AO144" s="90"/>
      <c r="AP144" s="90"/>
    </row>
    <row r="145" spans="41:42" ht="18" customHeight="1">
      <c r="AO145" s="90"/>
      <c r="AP145" s="90"/>
    </row>
    <row r="146" spans="41:42" ht="18" customHeight="1">
      <c r="AO146" s="90"/>
      <c r="AP146" s="90"/>
    </row>
    <row r="147" spans="41:42" ht="18" customHeight="1">
      <c r="AO147" s="90"/>
      <c r="AP147" s="90"/>
    </row>
    <row r="148" spans="41:42" ht="18" customHeight="1">
      <c r="AO148" s="90"/>
      <c r="AP148" s="90"/>
    </row>
    <row r="149" spans="41:42" ht="18" customHeight="1">
      <c r="AO149" s="90"/>
      <c r="AP149" s="90"/>
    </row>
    <row r="150" spans="41:42" ht="18" customHeight="1">
      <c r="AO150" s="90"/>
      <c r="AP150" s="90"/>
    </row>
    <row r="151" spans="41:42" ht="18" customHeight="1">
      <c r="AO151" s="90"/>
      <c r="AP151" s="90"/>
    </row>
    <row r="152" spans="41:42" ht="18" customHeight="1">
      <c r="AO152" s="90"/>
      <c r="AP152" s="90"/>
    </row>
    <row r="153" spans="41:42" ht="18" customHeight="1">
      <c r="AO153" s="90"/>
      <c r="AP153" s="90"/>
    </row>
    <row r="154" spans="41:42" ht="18" customHeight="1">
      <c r="AO154" s="90"/>
      <c r="AP154" s="90"/>
    </row>
    <row r="155" spans="41:42" ht="18" customHeight="1">
      <c r="AO155" s="90"/>
      <c r="AP155" s="90"/>
    </row>
    <row r="156" spans="41:42" ht="18" customHeight="1">
      <c r="AO156" s="90"/>
      <c r="AP156" s="90"/>
    </row>
    <row r="157" spans="41:42" ht="18" customHeight="1">
      <c r="AO157" s="90"/>
      <c r="AP157" s="90"/>
    </row>
    <row r="158" spans="41:42" ht="18" customHeight="1">
      <c r="AO158" s="90"/>
      <c r="AP158" s="90"/>
    </row>
    <row r="159" spans="41:42" ht="18" customHeight="1">
      <c r="AO159" s="90"/>
      <c r="AP159" s="90"/>
    </row>
    <row r="160" spans="41:42" ht="18" customHeight="1">
      <c r="AO160" s="90"/>
      <c r="AP160" s="90"/>
    </row>
    <row r="161" spans="41:42" ht="18" customHeight="1">
      <c r="AO161" s="90"/>
      <c r="AP161" s="90"/>
    </row>
    <row r="162" spans="41:42" ht="18" customHeight="1">
      <c r="AO162" s="90"/>
      <c r="AP162" s="90"/>
    </row>
    <row r="163" spans="41:42" ht="18" customHeight="1">
      <c r="AO163" s="90"/>
      <c r="AP163" s="90"/>
    </row>
    <row r="164" spans="41:42" ht="18" customHeight="1">
      <c r="AO164" s="90"/>
      <c r="AP164" s="90"/>
    </row>
    <row r="165" spans="41:42" ht="18" customHeight="1">
      <c r="AO165" s="90"/>
      <c r="AP165" s="90"/>
    </row>
    <row r="166" spans="41:42" ht="18" customHeight="1">
      <c r="AO166" s="90"/>
      <c r="AP166" s="90"/>
    </row>
    <row r="167" spans="41:42" ht="18" customHeight="1">
      <c r="AO167" s="90"/>
      <c r="AP167" s="90"/>
    </row>
    <row r="168" spans="41:42" ht="18" customHeight="1">
      <c r="AO168" s="90"/>
      <c r="AP168" s="90"/>
    </row>
    <row r="169" spans="41:42" ht="18" customHeight="1">
      <c r="AO169" s="90"/>
      <c r="AP169" s="90"/>
    </row>
    <row r="170" spans="41:42" ht="18" customHeight="1">
      <c r="AO170" s="90"/>
      <c r="AP170" s="90"/>
    </row>
    <row r="171" spans="41:42" ht="18" customHeight="1">
      <c r="AO171" s="90"/>
      <c r="AP171" s="90"/>
    </row>
    <row r="172" spans="41:42" ht="18" customHeight="1">
      <c r="AO172" s="90"/>
      <c r="AP172" s="90"/>
    </row>
    <row r="173" spans="41:42" ht="18" customHeight="1">
      <c r="AO173" s="90"/>
      <c r="AP173" s="90"/>
    </row>
    <row r="174" spans="41:42" ht="18" customHeight="1">
      <c r="AO174" s="90"/>
      <c r="AP174" s="90"/>
    </row>
    <row r="175" spans="41:42" ht="18" customHeight="1">
      <c r="AO175" s="90"/>
      <c r="AP175" s="90"/>
    </row>
    <row r="176" spans="41:42" ht="18" customHeight="1">
      <c r="AO176" s="90"/>
      <c r="AP176" s="90"/>
    </row>
    <row r="177" spans="41:42" ht="18" customHeight="1">
      <c r="AO177" s="90"/>
      <c r="AP177" s="90"/>
    </row>
    <row r="178" spans="41:42" ht="18" customHeight="1">
      <c r="AO178" s="90"/>
      <c r="AP178" s="90"/>
    </row>
    <row r="179" spans="41:42" ht="18" customHeight="1">
      <c r="AO179" s="90"/>
      <c r="AP179" s="90"/>
    </row>
    <row r="180" spans="41:42" ht="18" customHeight="1">
      <c r="AO180" s="90"/>
      <c r="AP180" s="90"/>
    </row>
    <row r="181" spans="41:42" ht="18" customHeight="1">
      <c r="AO181" s="90"/>
      <c r="AP181" s="90"/>
    </row>
    <row r="182" spans="41:42" ht="18" customHeight="1">
      <c r="AO182" s="90"/>
      <c r="AP182" s="90"/>
    </row>
    <row r="183" spans="41:42" ht="18" customHeight="1">
      <c r="AO183" s="90"/>
      <c r="AP183" s="90"/>
    </row>
    <row r="184" spans="41:42" ht="18" customHeight="1">
      <c r="AO184" s="90"/>
      <c r="AP184" s="90"/>
    </row>
    <row r="185" spans="41:42" ht="18" customHeight="1">
      <c r="AO185" s="90"/>
      <c r="AP185" s="90"/>
    </row>
    <row r="186" spans="41:42" ht="18" customHeight="1">
      <c r="AO186" s="90"/>
      <c r="AP186" s="90"/>
    </row>
    <row r="187" spans="41:42" ht="18" customHeight="1">
      <c r="AO187" s="90"/>
      <c r="AP187" s="90"/>
    </row>
    <row r="188" spans="41:42" ht="18" customHeight="1">
      <c r="AO188" s="90"/>
      <c r="AP188" s="90"/>
    </row>
    <row r="189" spans="41:42" ht="18" customHeight="1">
      <c r="AO189" s="90"/>
      <c r="AP189" s="90"/>
    </row>
    <row r="190" spans="41:42" ht="18" customHeight="1">
      <c r="AO190" s="90"/>
      <c r="AP190" s="90"/>
    </row>
    <row r="191" spans="41:42" ht="18" customHeight="1">
      <c r="AO191" s="90"/>
      <c r="AP191" s="90"/>
    </row>
    <row r="192" spans="41:42" ht="18" customHeight="1">
      <c r="AO192" s="90"/>
      <c r="AP192" s="90"/>
    </row>
    <row r="193" spans="41:42" ht="18" customHeight="1">
      <c r="AO193" s="90"/>
      <c r="AP193" s="90"/>
    </row>
    <row r="194" spans="41:42" ht="18" customHeight="1">
      <c r="AO194" s="90"/>
      <c r="AP194" s="90"/>
    </row>
    <row r="195" spans="41:42" ht="18" customHeight="1">
      <c r="AO195" s="90"/>
      <c r="AP195" s="90"/>
    </row>
    <row r="196" spans="41:42" ht="18" customHeight="1">
      <c r="AO196" s="90"/>
      <c r="AP196" s="90"/>
    </row>
    <row r="197" spans="41:42" ht="18" customHeight="1">
      <c r="AO197" s="90"/>
      <c r="AP197" s="90"/>
    </row>
    <row r="198" spans="41:42" ht="18" customHeight="1">
      <c r="AO198" s="90"/>
      <c r="AP198" s="90"/>
    </row>
    <row r="199" spans="41:42" ht="18" customHeight="1">
      <c r="AO199" s="90"/>
      <c r="AP199" s="90"/>
    </row>
    <row r="200" spans="41:42" ht="18" customHeight="1">
      <c r="AO200" s="90"/>
      <c r="AP200" s="90"/>
    </row>
    <row r="201" spans="41:42" ht="18" customHeight="1">
      <c r="AO201" s="90"/>
      <c r="AP201" s="90"/>
    </row>
    <row r="202" spans="41:42" ht="18" customHeight="1">
      <c r="AO202" s="90"/>
      <c r="AP202" s="90"/>
    </row>
    <row r="203" spans="41:42" ht="18" customHeight="1">
      <c r="AO203" s="90"/>
      <c r="AP203" s="90"/>
    </row>
    <row r="204" spans="41:42" ht="18" customHeight="1">
      <c r="AO204" s="90"/>
      <c r="AP204" s="90"/>
    </row>
    <row r="205" spans="41:42" ht="18" customHeight="1">
      <c r="AO205" s="90"/>
      <c r="AP205" s="90"/>
    </row>
    <row r="206" spans="41:42" ht="18" customHeight="1">
      <c r="AO206" s="90"/>
      <c r="AP206" s="90"/>
    </row>
    <row r="207" spans="41:42" ht="18" customHeight="1">
      <c r="AO207" s="90"/>
      <c r="AP207" s="90"/>
    </row>
    <row r="208" spans="41:42" ht="18" customHeight="1">
      <c r="AO208" s="90"/>
      <c r="AP208" s="90"/>
    </row>
    <row r="209" spans="41:42" ht="18" customHeight="1">
      <c r="AO209" s="90"/>
      <c r="AP209" s="90"/>
    </row>
    <row r="210" spans="41:42" ht="18" customHeight="1">
      <c r="AO210" s="90"/>
      <c r="AP210" s="90"/>
    </row>
    <row r="211" spans="41:42" ht="18" customHeight="1">
      <c r="AO211" s="90"/>
      <c r="AP211" s="90"/>
    </row>
    <row r="212" spans="41:42" ht="18" customHeight="1">
      <c r="AO212" s="90"/>
      <c r="AP212" s="90"/>
    </row>
    <row r="213" spans="41:42" ht="18" customHeight="1">
      <c r="AO213" s="90"/>
      <c r="AP213" s="90"/>
    </row>
    <row r="214" spans="41:42" ht="18" customHeight="1">
      <c r="AO214" s="90"/>
      <c r="AP214" s="90"/>
    </row>
    <row r="215" spans="41:42" ht="18" customHeight="1">
      <c r="AO215" s="90"/>
      <c r="AP215" s="90"/>
    </row>
    <row r="216" spans="41:42" ht="18" customHeight="1">
      <c r="AO216" s="90"/>
      <c r="AP216" s="90"/>
    </row>
    <row r="217" spans="41:42" ht="18" customHeight="1">
      <c r="AO217" s="90"/>
      <c r="AP217" s="90"/>
    </row>
    <row r="218" spans="41:42" ht="18" customHeight="1">
      <c r="AO218" s="90"/>
      <c r="AP218" s="90"/>
    </row>
    <row r="219" spans="41:42" ht="18" customHeight="1">
      <c r="AO219" s="90"/>
      <c r="AP219" s="90"/>
    </row>
    <row r="220" spans="41:42" ht="18" customHeight="1">
      <c r="AO220" s="90"/>
      <c r="AP220" s="90"/>
    </row>
    <row r="221" spans="41:42" ht="18" customHeight="1">
      <c r="AO221" s="90"/>
      <c r="AP221" s="90"/>
    </row>
    <row r="222" spans="41:42" ht="18" customHeight="1">
      <c r="AO222" s="90"/>
      <c r="AP222" s="90"/>
    </row>
    <row r="223" spans="41:42" ht="18" customHeight="1">
      <c r="AO223" s="90"/>
      <c r="AP223" s="90"/>
    </row>
    <row r="224" spans="41:42" ht="18" customHeight="1">
      <c r="AO224" s="90"/>
      <c r="AP224" s="90"/>
    </row>
    <row r="225" spans="41:42" ht="18" customHeight="1">
      <c r="AO225" s="90"/>
      <c r="AP225" s="90"/>
    </row>
    <row r="226" spans="41:42" ht="18" customHeight="1">
      <c r="AO226" s="90"/>
      <c r="AP226" s="90"/>
    </row>
    <row r="227" spans="41:42" ht="18" customHeight="1">
      <c r="AO227" s="90"/>
      <c r="AP227" s="90"/>
    </row>
    <row r="228" spans="41:42" ht="18" customHeight="1">
      <c r="AO228" s="90"/>
      <c r="AP228" s="90"/>
    </row>
    <row r="229" spans="41:42" ht="18" customHeight="1">
      <c r="AO229" s="90"/>
      <c r="AP229" s="90"/>
    </row>
    <row r="230" spans="41:42" ht="18" customHeight="1">
      <c r="AO230" s="90"/>
      <c r="AP230" s="90"/>
    </row>
    <row r="231" spans="41:42" ht="18" customHeight="1">
      <c r="AO231" s="90"/>
      <c r="AP231" s="90"/>
    </row>
    <row r="232" spans="41:42" ht="18" customHeight="1">
      <c r="AO232" s="90"/>
      <c r="AP232" s="90"/>
    </row>
    <row r="233" spans="41:42" ht="18" customHeight="1">
      <c r="AO233" s="90"/>
      <c r="AP233" s="90"/>
    </row>
    <row r="234" spans="41:42" ht="18" customHeight="1">
      <c r="AO234" s="90"/>
      <c r="AP234" s="90"/>
    </row>
    <row r="235" spans="41:42" ht="18" customHeight="1">
      <c r="AO235" s="90"/>
      <c r="AP235" s="90"/>
    </row>
    <row r="236" spans="41:42" ht="18" customHeight="1">
      <c r="AO236" s="90"/>
      <c r="AP236" s="90"/>
    </row>
    <row r="237" spans="41:42" ht="18" customHeight="1">
      <c r="AO237" s="90"/>
      <c r="AP237" s="90"/>
    </row>
    <row r="238" spans="41:42" ht="18" customHeight="1">
      <c r="AO238" s="90"/>
      <c r="AP238" s="90"/>
    </row>
    <row r="239" spans="41:42" ht="18" customHeight="1">
      <c r="AO239" s="90"/>
      <c r="AP239" s="90"/>
    </row>
    <row r="240" spans="41:42" ht="18" customHeight="1">
      <c r="AO240" s="90"/>
      <c r="AP240" s="90"/>
    </row>
    <row r="241" spans="41:42" ht="18" customHeight="1">
      <c r="AO241" s="90"/>
      <c r="AP241" s="90"/>
    </row>
    <row r="242" spans="41:42" ht="18" customHeight="1">
      <c r="AO242" s="90"/>
      <c r="AP242" s="90"/>
    </row>
    <row r="243" spans="41:42" ht="18" customHeight="1">
      <c r="AO243" s="90"/>
      <c r="AP243" s="90"/>
    </row>
    <row r="244" spans="41:42" ht="18" customHeight="1">
      <c r="AO244" s="90"/>
      <c r="AP244" s="90"/>
    </row>
    <row r="245" spans="41:42" ht="18" customHeight="1">
      <c r="AO245" s="90"/>
      <c r="AP245" s="90"/>
    </row>
    <row r="246" spans="41:42" ht="18" customHeight="1">
      <c r="AO246" s="90"/>
      <c r="AP246" s="90"/>
    </row>
    <row r="247" spans="41:42" ht="18" customHeight="1">
      <c r="AO247" s="90"/>
      <c r="AP247" s="90"/>
    </row>
    <row r="248" spans="41:42" ht="18" customHeight="1">
      <c r="AO248" s="90"/>
      <c r="AP248" s="90"/>
    </row>
    <row r="249" spans="41:42" ht="18" customHeight="1">
      <c r="AO249" s="90"/>
      <c r="AP249" s="90"/>
    </row>
    <row r="250" spans="41:42" ht="18" customHeight="1">
      <c r="AO250" s="90"/>
      <c r="AP250" s="90"/>
    </row>
    <row r="251" spans="41:42" ht="18" customHeight="1">
      <c r="AO251" s="90"/>
      <c r="AP251" s="90"/>
    </row>
    <row r="252" spans="41:42" ht="18" customHeight="1">
      <c r="AO252" s="90"/>
      <c r="AP252" s="90"/>
    </row>
    <row r="253" spans="41:42" ht="18" customHeight="1">
      <c r="AO253" s="90"/>
      <c r="AP253" s="90"/>
    </row>
    <row r="254" spans="41:42" ht="18" customHeight="1">
      <c r="AO254" s="90"/>
      <c r="AP254" s="90"/>
    </row>
    <row r="255" spans="41:42" ht="18" customHeight="1">
      <c r="AO255" s="90"/>
      <c r="AP255" s="90"/>
    </row>
    <row r="256" spans="41:42" ht="18" customHeight="1">
      <c r="AO256" s="90"/>
      <c r="AP256" s="90"/>
    </row>
    <row r="257" spans="41:42" ht="18" customHeight="1">
      <c r="AO257" s="90"/>
      <c r="AP257" s="90"/>
    </row>
    <row r="258" spans="41:42" ht="18" customHeight="1">
      <c r="AO258" s="90"/>
      <c r="AP258" s="90"/>
    </row>
    <row r="259" spans="41:42" ht="18" customHeight="1">
      <c r="AO259" s="90"/>
      <c r="AP259" s="90"/>
    </row>
    <row r="260" spans="41:42" ht="18" customHeight="1">
      <c r="AO260" s="90"/>
      <c r="AP260" s="90"/>
    </row>
    <row r="261" spans="41:42" ht="18" customHeight="1">
      <c r="AO261" s="90"/>
      <c r="AP261" s="90"/>
    </row>
    <row r="262" spans="41:42" ht="18" customHeight="1">
      <c r="AO262" s="90"/>
      <c r="AP262" s="90"/>
    </row>
    <row r="263" spans="41:42" ht="18" customHeight="1">
      <c r="AO263" s="90"/>
      <c r="AP263" s="90"/>
    </row>
    <row r="264" spans="41:42" ht="18" customHeight="1">
      <c r="AO264" s="90"/>
      <c r="AP264" s="90"/>
    </row>
    <row r="265" spans="41:42" ht="18" customHeight="1">
      <c r="AO265" s="90"/>
      <c r="AP265" s="90"/>
    </row>
    <row r="266" spans="41:42" ht="18" customHeight="1">
      <c r="AO266" s="90"/>
      <c r="AP266" s="90"/>
    </row>
    <row r="267" spans="41:42" ht="18" customHeight="1">
      <c r="AO267" s="90"/>
      <c r="AP267" s="90"/>
    </row>
    <row r="268" spans="41:42" ht="18" customHeight="1">
      <c r="AO268" s="90"/>
      <c r="AP268" s="90"/>
    </row>
    <row r="269" spans="41:42" ht="18" customHeight="1">
      <c r="AO269" s="90"/>
      <c r="AP269" s="90"/>
    </row>
    <row r="270" spans="41:42" ht="18" customHeight="1">
      <c r="AO270" s="90"/>
      <c r="AP270" s="90"/>
    </row>
    <row r="271" spans="41:42" ht="18" customHeight="1">
      <c r="AO271" s="90"/>
      <c r="AP271" s="90"/>
    </row>
    <row r="272" spans="41:42" ht="18" customHeight="1">
      <c r="AO272" s="90"/>
      <c r="AP272" s="90"/>
    </row>
    <row r="273" spans="41:42" ht="18" customHeight="1">
      <c r="AO273" s="90"/>
      <c r="AP273" s="90"/>
    </row>
    <row r="274" spans="41:42" ht="18" customHeight="1">
      <c r="AO274" s="90"/>
      <c r="AP274" s="90"/>
    </row>
    <row r="275" spans="41:42" ht="18" customHeight="1">
      <c r="AO275" s="90"/>
      <c r="AP275" s="90"/>
    </row>
    <row r="276" spans="41:42" ht="18" customHeight="1">
      <c r="AO276" s="90"/>
      <c r="AP276" s="90"/>
    </row>
    <row r="277" spans="41:42" ht="18" customHeight="1">
      <c r="AO277" s="90"/>
      <c r="AP277" s="90"/>
    </row>
    <row r="278" spans="41:42" ht="18" customHeight="1">
      <c r="AO278" s="90"/>
      <c r="AP278" s="90"/>
    </row>
    <row r="279" spans="41:42" ht="18" customHeight="1">
      <c r="AO279" s="90"/>
      <c r="AP279" s="90"/>
    </row>
    <row r="280" spans="41:42" ht="18" customHeight="1">
      <c r="AO280" s="90"/>
      <c r="AP280" s="90"/>
    </row>
    <row r="281" spans="41:42" ht="18" customHeight="1">
      <c r="AO281" s="90"/>
      <c r="AP281" s="90"/>
    </row>
    <row r="282" spans="41:42" ht="18" customHeight="1">
      <c r="AO282" s="90"/>
      <c r="AP282" s="90"/>
    </row>
    <row r="283" spans="41:42" ht="18" customHeight="1">
      <c r="AO283" s="90"/>
      <c r="AP283" s="90"/>
    </row>
    <row r="284" spans="41:42" ht="18" customHeight="1">
      <c r="AO284" s="90"/>
      <c r="AP284" s="90"/>
    </row>
    <row r="285" spans="41:42" ht="18" customHeight="1">
      <c r="AO285" s="90"/>
      <c r="AP285" s="90"/>
    </row>
    <row r="286" spans="41:42" ht="18" customHeight="1">
      <c r="AO286" s="90"/>
      <c r="AP286" s="90"/>
    </row>
    <row r="287" spans="41:42" ht="18" customHeight="1">
      <c r="AO287" s="90"/>
      <c r="AP287" s="90"/>
    </row>
    <row r="288" spans="41:42" ht="18" customHeight="1">
      <c r="AO288" s="90"/>
      <c r="AP288" s="90"/>
    </row>
    <row r="289" spans="41:42" ht="18" customHeight="1">
      <c r="AO289" s="90"/>
      <c r="AP289" s="90"/>
    </row>
    <row r="290" spans="41:42" ht="18" customHeight="1">
      <c r="AO290" s="90"/>
      <c r="AP290" s="90"/>
    </row>
    <row r="291" spans="41:42" ht="18" customHeight="1">
      <c r="AO291" s="90"/>
      <c r="AP291" s="90"/>
    </row>
    <row r="292" spans="41:42" ht="18" customHeight="1">
      <c r="AO292" s="90"/>
      <c r="AP292" s="90"/>
    </row>
    <row r="293" spans="41:42" ht="18" customHeight="1">
      <c r="AO293" s="90"/>
      <c r="AP293" s="90"/>
    </row>
    <row r="294" spans="41:42" ht="18" customHeight="1">
      <c r="AO294" s="90"/>
      <c r="AP294" s="90"/>
    </row>
    <row r="295" spans="41:42" ht="18" customHeight="1">
      <c r="AO295" s="90"/>
      <c r="AP295" s="90"/>
    </row>
    <row r="296" spans="41:42" ht="18" customHeight="1">
      <c r="AO296" s="90"/>
      <c r="AP296" s="90"/>
    </row>
    <row r="297" spans="41:42" ht="18" customHeight="1">
      <c r="AO297" s="90"/>
      <c r="AP297" s="90"/>
    </row>
    <row r="298" spans="41:42" ht="18" customHeight="1">
      <c r="AO298" s="90"/>
      <c r="AP298" s="90"/>
    </row>
    <row r="299" spans="41:42" ht="18" customHeight="1">
      <c r="AO299" s="90"/>
      <c r="AP299" s="90"/>
    </row>
    <row r="300" spans="41:42" ht="18" customHeight="1">
      <c r="AO300" s="90"/>
      <c r="AP300" s="90"/>
    </row>
    <row r="301" spans="41:42" ht="18" customHeight="1">
      <c r="AO301" s="90"/>
      <c r="AP301" s="90"/>
    </row>
    <row r="302" spans="41:42" ht="18" customHeight="1">
      <c r="AO302" s="90"/>
      <c r="AP302" s="90"/>
    </row>
    <row r="303" spans="41:42" ht="18" customHeight="1">
      <c r="AO303" s="90"/>
      <c r="AP303" s="90"/>
    </row>
    <row r="304" spans="41:42" ht="18" customHeight="1">
      <c r="AO304" s="90"/>
      <c r="AP304" s="90"/>
    </row>
    <row r="305" spans="41:42" ht="18" customHeight="1">
      <c r="AO305" s="90"/>
      <c r="AP305" s="90"/>
    </row>
    <row r="306" spans="41:42" ht="18" customHeight="1">
      <c r="AO306" s="90"/>
      <c r="AP306" s="90"/>
    </row>
    <row r="307" spans="41:42" ht="18" customHeight="1">
      <c r="AO307" s="90"/>
      <c r="AP307" s="90"/>
    </row>
    <row r="308" spans="41:42" ht="18" customHeight="1">
      <c r="AO308" s="90"/>
      <c r="AP308" s="90"/>
    </row>
    <row r="309" spans="41:42" ht="18" customHeight="1">
      <c r="AO309" s="90"/>
      <c r="AP309" s="90"/>
    </row>
    <row r="310" spans="41:42" ht="18" customHeight="1">
      <c r="AO310" s="90"/>
      <c r="AP310" s="90"/>
    </row>
    <row r="311" spans="41:42" ht="18" customHeight="1">
      <c r="AO311" s="90"/>
      <c r="AP311" s="90"/>
    </row>
    <row r="312" spans="41:42" ht="18" customHeight="1">
      <c r="AO312" s="90"/>
      <c r="AP312" s="90"/>
    </row>
    <row r="313" spans="41:42" ht="18" customHeight="1">
      <c r="AO313" s="90"/>
      <c r="AP313" s="90"/>
    </row>
    <row r="314" spans="41:42" ht="18" customHeight="1">
      <c r="AO314" s="90"/>
      <c r="AP314" s="90"/>
    </row>
    <row r="315" spans="41:42" ht="18" customHeight="1">
      <c r="AO315" s="90"/>
      <c r="AP315" s="90"/>
    </row>
    <row r="316" spans="41:42" ht="18" customHeight="1">
      <c r="AO316" s="90"/>
      <c r="AP316" s="90"/>
    </row>
    <row r="317" spans="41:42" ht="18" customHeight="1">
      <c r="AO317" s="90"/>
      <c r="AP317" s="90"/>
    </row>
    <row r="318" spans="41:42" ht="18" customHeight="1">
      <c r="AO318" s="90"/>
      <c r="AP318" s="90"/>
    </row>
    <row r="319" spans="41:42" ht="18" customHeight="1">
      <c r="AO319" s="90"/>
      <c r="AP319" s="90"/>
    </row>
    <row r="320" spans="41:42" ht="18" customHeight="1">
      <c r="AO320" s="90"/>
      <c r="AP320" s="90"/>
    </row>
    <row r="321" spans="41:42" ht="18" customHeight="1">
      <c r="AO321" s="90"/>
      <c r="AP321" s="90"/>
    </row>
    <row r="322" spans="41:42" ht="18" customHeight="1">
      <c r="AO322" s="90"/>
      <c r="AP322" s="90"/>
    </row>
    <row r="323" spans="41:42" ht="18" customHeight="1">
      <c r="AO323" s="90"/>
      <c r="AP323" s="90"/>
    </row>
    <row r="324" spans="41:42" ht="18" customHeight="1">
      <c r="AO324" s="90"/>
      <c r="AP324" s="90"/>
    </row>
    <row r="325" spans="41:42" ht="18" customHeight="1">
      <c r="AO325" s="90"/>
      <c r="AP325" s="90"/>
    </row>
    <row r="326" spans="41:42" ht="18" customHeight="1">
      <c r="AO326" s="90"/>
      <c r="AP326" s="90"/>
    </row>
    <row r="327" spans="41:42" ht="18" customHeight="1">
      <c r="AO327" s="90"/>
      <c r="AP327" s="90"/>
    </row>
    <row r="328" spans="41:42" ht="18" customHeight="1">
      <c r="AO328" s="90"/>
      <c r="AP328" s="90"/>
    </row>
    <row r="329" spans="41:42" ht="18" customHeight="1">
      <c r="AO329" s="90"/>
      <c r="AP329" s="90"/>
    </row>
    <row r="330" spans="41:42" ht="18" customHeight="1">
      <c r="AO330" s="90"/>
      <c r="AP330" s="90"/>
    </row>
    <row r="331" spans="41:42" ht="18" customHeight="1">
      <c r="AO331" s="90"/>
      <c r="AP331" s="90"/>
    </row>
    <row r="332" spans="41:42" ht="18" customHeight="1">
      <c r="AO332" s="90"/>
      <c r="AP332" s="90"/>
    </row>
    <row r="333" spans="41:42" ht="18" customHeight="1">
      <c r="AO333" s="90"/>
      <c r="AP333" s="90"/>
    </row>
    <row r="334" spans="41:42" ht="18" customHeight="1">
      <c r="AO334" s="90"/>
      <c r="AP334" s="90"/>
    </row>
    <row r="335" spans="41:42" ht="18" customHeight="1">
      <c r="AO335" s="90"/>
      <c r="AP335" s="90"/>
    </row>
    <row r="336" spans="41:42" ht="18" customHeight="1">
      <c r="AO336" s="90"/>
      <c r="AP336" s="90"/>
    </row>
    <row r="337" spans="41:42" ht="18" customHeight="1">
      <c r="AO337" s="90"/>
      <c r="AP337" s="90"/>
    </row>
    <row r="338" spans="41:42" ht="18" customHeight="1">
      <c r="AO338" s="90"/>
      <c r="AP338" s="90"/>
    </row>
    <row r="339" spans="41:42" ht="18" customHeight="1">
      <c r="AO339" s="90"/>
      <c r="AP339" s="90"/>
    </row>
    <row r="340" spans="41:42" ht="18" customHeight="1">
      <c r="AO340" s="90"/>
      <c r="AP340" s="90"/>
    </row>
    <row r="341" spans="41:42" ht="18" customHeight="1">
      <c r="AO341" s="90"/>
      <c r="AP341" s="90"/>
    </row>
    <row r="342" spans="41:42" ht="18" customHeight="1">
      <c r="AO342" s="90"/>
      <c r="AP342" s="90"/>
    </row>
    <row r="343" spans="41:42" ht="18" customHeight="1">
      <c r="AO343" s="90"/>
      <c r="AP343" s="90"/>
    </row>
    <row r="344" spans="41:42" ht="18" customHeight="1">
      <c r="AO344" s="90"/>
      <c r="AP344" s="90"/>
    </row>
    <row r="345" spans="41:42" ht="18" customHeight="1">
      <c r="AO345" s="90"/>
      <c r="AP345" s="90"/>
    </row>
    <row r="346" spans="41:42" ht="18" customHeight="1">
      <c r="AO346" s="90"/>
      <c r="AP346" s="90"/>
    </row>
    <row r="347" spans="41:42" ht="18" customHeight="1">
      <c r="AO347" s="90"/>
      <c r="AP347" s="90"/>
    </row>
    <row r="348" spans="41:42" ht="18" customHeight="1">
      <c r="AO348" s="90"/>
      <c r="AP348" s="90"/>
    </row>
    <row r="349" spans="41:42" ht="18" customHeight="1">
      <c r="AO349" s="90"/>
      <c r="AP349" s="90"/>
    </row>
    <row r="350" spans="41:42" ht="18" customHeight="1">
      <c r="AO350" s="90"/>
      <c r="AP350" s="90"/>
    </row>
    <row r="351" spans="41:42" ht="18" customHeight="1">
      <c r="AO351" s="90"/>
      <c r="AP351" s="90"/>
    </row>
    <row r="352" spans="41:42" ht="18" customHeight="1">
      <c r="AO352" s="90"/>
      <c r="AP352" s="90"/>
    </row>
    <row r="353" spans="41:42" ht="18" customHeight="1">
      <c r="AO353" s="90"/>
      <c r="AP353" s="90"/>
    </row>
    <row r="354" spans="41:42" ht="18" customHeight="1">
      <c r="AO354" s="90"/>
      <c r="AP354" s="90"/>
    </row>
    <row r="355" spans="41:42" ht="18" customHeight="1">
      <c r="AO355" s="90"/>
      <c r="AP355" s="90"/>
    </row>
    <row r="356" spans="41:42" ht="18" customHeight="1">
      <c r="AO356" s="90"/>
      <c r="AP356" s="90"/>
    </row>
    <row r="357" spans="41:42" ht="18" customHeight="1">
      <c r="AO357" s="90"/>
      <c r="AP357" s="90"/>
    </row>
    <row r="358" spans="41:42" ht="18" customHeight="1">
      <c r="AO358" s="90"/>
      <c r="AP358" s="90"/>
    </row>
    <row r="359" spans="41:42" ht="18" customHeight="1">
      <c r="AO359" s="90"/>
      <c r="AP359" s="90"/>
    </row>
    <row r="360" spans="41:42" ht="18" customHeight="1">
      <c r="AO360" s="90"/>
      <c r="AP360" s="90"/>
    </row>
    <row r="361" spans="41:42" ht="18" customHeight="1">
      <c r="AO361" s="90"/>
      <c r="AP361" s="90"/>
    </row>
    <row r="362" spans="41:42" ht="18" customHeight="1">
      <c r="AO362" s="90"/>
      <c r="AP362" s="90"/>
    </row>
    <row r="363" spans="41:42" ht="18" customHeight="1">
      <c r="AO363" s="90"/>
      <c r="AP363" s="90"/>
    </row>
    <row r="364" spans="41:42" ht="18" customHeight="1">
      <c r="AO364" s="90"/>
      <c r="AP364" s="90"/>
    </row>
  </sheetData>
  <mergeCells count="650">
    <mergeCell ref="AQ43:AR43"/>
    <mergeCell ref="AS43:AT43"/>
    <mergeCell ref="AD43:AE43"/>
    <mergeCell ref="AF43:AG43"/>
    <mergeCell ref="AH43:AI43"/>
    <mergeCell ref="AJ43:AK43"/>
    <mergeCell ref="AL43:AM43"/>
    <mergeCell ref="AN43:AP43"/>
    <mergeCell ref="O43:Q43"/>
    <mergeCell ref="R43:T43"/>
    <mergeCell ref="U43:W43"/>
    <mergeCell ref="X43:Y43"/>
    <mergeCell ref="Z43:AA43"/>
    <mergeCell ref="AB43:AC43"/>
    <mergeCell ref="AJ42:AK42"/>
    <mergeCell ref="AL42:AM42"/>
    <mergeCell ref="AN42:AP42"/>
    <mergeCell ref="AQ42:AR42"/>
    <mergeCell ref="AS42:AT42"/>
    <mergeCell ref="A43:B43"/>
    <mergeCell ref="C43:D43"/>
    <mergeCell ref="E43:H43"/>
    <mergeCell ref="I43:K43"/>
    <mergeCell ref="L43:N43"/>
    <mergeCell ref="X42:Y42"/>
    <mergeCell ref="Z42:AA42"/>
    <mergeCell ref="AB42:AC42"/>
    <mergeCell ref="AD42:AE42"/>
    <mergeCell ref="AF42:AG42"/>
    <mergeCell ref="AH42:AI42"/>
    <mergeCell ref="AQ41:AR41"/>
    <mergeCell ref="AS41:AT41"/>
    <mergeCell ref="A42:B42"/>
    <mergeCell ref="C42:D42"/>
    <mergeCell ref="E42:H42"/>
    <mergeCell ref="I42:K42"/>
    <mergeCell ref="L42:N42"/>
    <mergeCell ref="O42:Q42"/>
    <mergeCell ref="R42:T42"/>
    <mergeCell ref="U42:W42"/>
    <mergeCell ref="AD41:AE41"/>
    <mergeCell ref="AF41:AG41"/>
    <mergeCell ref="AH41:AI41"/>
    <mergeCell ref="AJ41:AK41"/>
    <mergeCell ref="AL41:AM41"/>
    <mergeCell ref="AN41:AP41"/>
    <mergeCell ref="O41:Q41"/>
    <mergeCell ref="R41:T41"/>
    <mergeCell ref="U41:W41"/>
    <mergeCell ref="X41:Y41"/>
    <mergeCell ref="Z41:AA41"/>
    <mergeCell ref="AB41:AC41"/>
    <mergeCell ref="AJ40:AK40"/>
    <mergeCell ref="AL40:AM40"/>
    <mergeCell ref="AN40:AP40"/>
    <mergeCell ref="AQ40:AR40"/>
    <mergeCell ref="AS40:AT40"/>
    <mergeCell ref="A41:B41"/>
    <mergeCell ref="C41:D41"/>
    <mergeCell ref="E41:H41"/>
    <mergeCell ref="I41:K41"/>
    <mergeCell ref="L41:N41"/>
    <mergeCell ref="X40:Y40"/>
    <mergeCell ref="Z40:AA40"/>
    <mergeCell ref="AB40:AC40"/>
    <mergeCell ref="AD40:AE40"/>
    <mergeCell ref="AF40:AG40"/>
    <mergeCell ref="AH40:AI40"/>
    <mergeCell ref="AQ39:AR39"/>
    <mergeCell ref="AS39:AT39"/>
    <mergeCell ref="A40:B40"/>
    <mergeCell ref="C40:D40"/>
    <mergeCell ref="E40:H40"/>
    <mergeCell ref="I40:K40"/>
    <mergeCell ref="L40:N40"/>
    <mergeCell ref="O40:Q40"/>
    <mergeCell ref="R40:T40"/>
    <mergeCell ref="U40:W40"/>
    <mergeCell ref="AD39:AE39"/>
    <mergeCell ref="AF39:AG39"/>
    <mergeCell ref="AH39:AI39"/>
    <mergeCell ref="AJ39:AK39"/>
    <mergeCell ref="AL39:AM39"/>
    <mergeCell ref="AN39:AP39"/>
    <mergeCell ref="O39:Q39"/>
    <mergeCell ref="R39:T39"/>
    <mergeCell ref="U39:W39"/>
    <mergeCell ref="X39:Y39"/>
    <mergeCell ref="Z39:AA39"/>
    <mergeCell ref="AB39:AC39"/>
    <mergeCell ref="AJ38:AK38"/>
    <mergeCell ref="AL38:AM38"/>
    <mergeCell ref="AN38:AP38"/>
    <mergeCell ref="AQ38:AR38"/>
    <mergeCell ref="AS38:AT38"/>
    <mergeCell ref="A39:B39"/>
    <mergeCell ref="C39:D39"/>
    <mergeCell ref="E39:H39"/>
    <mergeCell ref="I39:K39"/>
    <mergeCell ref="L39:N39"/>
    <mergeCell ref="X38:Y38"/>
    <mergeCell ref="Z38:AA38"/>
    <mergeCell ref="AB38:AC38"/>
    <mergeCell ref="AD38:AE38"/>
    <mergeCell ref="AF38:AG38"/>
    <mergeCell ref="AH38:AI38"/>
    <mergeCell ref="AQ37:AR37"/>
    <mergeCell ref="AS37:AT37"/>
    <mergeCell ref="A38:B38"/>
    <mergeCell ref="C38:D38"/>
    <mergeCell ref="E38:H38"/>
    <mergeCell ref="I38:K38"/>
    <mergeCell ref="L38:N38"/>
    <mergeCell ref="O38:Q38"/>
    <mergeCell ref="R38:T38"/>
    <mergeCell ref="U38:W38"/>
    <mergeCell ref="AD37:AE37"/>
    <mergeCell ref="AF37:AG37"/>
    <mergeCell ref="AH37:AI37"/>
    <mergeCell ref="AJ37:AK37"/>
    <mergeCell ref="AL37:AM37"/>
    <mergeCell ref="AN37:AP37"/>
    <mergeCell ref="O37:Q37"/>
    <mergeCell ref="R37:T37"/>
    <mergeCell ref="U37:W37"/>
    <mergeCell ref="X37:Y37"/>
    <mergeCell ref="Z37:AA37"/>
    <mergeCell ref="AB37:AC37"/>
    <mergeCell ref="AJ36:AK36"/>
    <mergeCell ref="AL36:AM36"/>
    <mergeCell ref="AN36:AP36"/>
    <mergeCell ref="AQ36:AR36"/>
    <mergeCell ref="AS36:AT36"/>
    <mergeCell ref="A37:B37"/>
    <mergeCell ref="C37:D37"/>
    <mergeCell ref="E37:H37"/>
    <mergeCell ref="I37:K37"/>
    <mergeCell ref="L37:N37"/>
    <mergeCell ref="X36:Y36"/>
    <mergeCell ref="Z36:AA36"/>
    <mergeCell ref="AB36:AC36"/>
    <mergeCell ref="AD36:AE36"/>
    <mergeCell ref="AF36:AG36"/>
    <mergeCell ref="AH36:AI36"/>
    <mergeCell ref="AQ35:AR35"/>
    <mergeCell ref="AS35:AT35"/>
    <mergeCell ref="A36:B36"/>
    <mergeCell ref="C36:D36"/>
    <mergeCell ref="E36:H36"/>
    <mergeCell ref="I36:K36"/>
    <mergeCell ref="L36:N36"/>
    <mergeCell ref="O36:Q36"/>
    <mergeCell ref="R36:T36"/>
    <mergeCell ref="U36:W36"/>
    <mergeCell ref="AD35:AE35"/>
    <mergeCell ref="AF35:AG35"/>
    <mergeCell ref="AH35:AI35"/>
    <mergeCell ref="AJ35:AK35"/>
    <mergeCell ref="AL35:AM35"/>
    <mergeCell ref="AN35:AP35"/>
    <mergeCell ref="O35:Q35"/>
    <mergeCell ref="R35:T35"/>
    <mergeCell ref="U35:W35"/>
    <mergeCell ref="X35:Y35"/>
    <mergeCell ref="Z35:AA35"/>
    <mergeCell ref="AB35:AC35"/>
    <mergeCell ref="AJ34:AK34"/>
    <mergeCell ref="AL34:AM34"/>
    <mergeCell ref="AN34:AP34"/>
    <mergeCell ref="AQ34:AR34"/>
    <mergeCell ref="AS34:AT34"/>
    <mergeCell ref="A35:B35"/>
    <mergeCell ref="C35:D35"/>
    <mergeCell ref="E35:H35"/>
    <mergeCell ref="I35:K35"/>
    <mergeCell ref="L35:N35"/>
    <mergeCell ref="X34:Y34"/>
    <mergeCell ref="Z34:AA34"/>
    <mergeCell ref="AB34:AC34"/>
    <mergeCell ref="AD34:AE34"/>
    <mergeCell ref="AF34:AG34"/>
    <mergeCell ref="AH34:AI34"/>
    <mergeCell ref="AQ33:AR33"/>
    <mergeCell ref="AS33:AT33"/>
    <mergeCell ref="A34:B34"/>
    <mergeCell ref="C34:D34"/>
    <mergeCell ref="E34:H34"/>
    <mergeCell ref="I34:K34"/>
    <mergeCell ref="L34:N34"/>
    <mergeCell ref="O34:Q34"/>
    <mergeCell ref="R34:T34"/>
    <mergeCell ref="U34:W34"/>
    <mergeCell ref="AD33:AE33"/>
    <mergeCell ref="AF33:AG33"/>
    <mergeCell ref="AH33:AI33"/>
    <mergeCell ref="AJ33:AK33"/>
    <mergeCell ref="AL33:AM33"/>
    <mergeCell ref="AN33:AP33"/>
    <mergeCell ref="O33:Q33"/>
    <mergeCell ref="R33:T33"/>
    <mergeCell ref="U33:W33"/>
    <mergeCell ref="X33:Y33"/>
    <mergeCell ref="Z33:AA33"/>
    <mergeCell ref="AB33:AC33"/>
    <mergeCell ref="AJ32:AK32"/>
    <mergeCell ref="AL32:AM32"/>
    <mergeCell ref="AN32:AP32"/>
    <mergeCell ref="AQ32:AR32"/>
    <mergeCell ref="AS32:AT32"/>
    <mergeCell ref="A33:B33"/>
    <mergeCell ref="C33:D33"/>
    <mergeCell ref="E33:H33"/>
    <mergeCell ref="I33:K33"/>
    <mergeCell ref="L33:N33"/>
    <mergeCell ref="X32:Y32"/>
    <mergeCell ref="Z32:AA32"/>
    <mergeCell ref="AB32:AC32"/>
    <mergeCell ref="AD32:AE32"/>
    <mergeCell ref="AF32:AG32"/>
    <mergeCell ref="AH32:AI32"/>
    <mergeCell ref="AQ31:AR31"/>
    <mergeCell ref="AS31:AT31"/>
    <mergeCell ref="A32:B32"/>
    <mergeCell ref="C32:D32"/>
    <mergeCell ref="E32:H32"/>
    <mergeCell ref="I32:K32"/>
    <mergeCell ref="L32:N32"/>
    <mergeCell ref="O32:Q32"/>
    <mergeCell ref="R32:T32"/>
    <mergeCell ref="U32:W32"/>
    <mergeCell ref="AD31:AE31"/>
    <mergeCell ref="AF31:AG31"/>
    <mergeCell ref="AH31:AI31"/>
    <mergeCell ref="AJ31:AK31"/>
    <mergeCell ref="AL31:AM31"/>
    <mergeCell ref="AN31:AP31"/>
    <mergeCell ref="O31:Q31"/>
    <mergeCell ref="R31:T31"/>
    <mergeCell ref="U31:W31"/>
    <mergeCell ref="X31:Y31"/>
    <mergeCell ref="Z31:AA31"/>
    <mergeCell ref="AB31:AC31"/>
    <mergeCell ref="AJ30:AK30"/>
    <mergeCell ref="AL30:AM30"/>
    <mergeCell ref="AN30:AP30"/>
    <mergeCell ref="AQ30:AR30"/>
    <mergeCell ref="AS30:AT30"/>
    <mergeCell ref="A31:B31"/>
    <mergeCell ref="C31:D31"/>
    <mergeCell ref="E31:H31"/>
    <mergeCell ref="I31:K31"/>
    <mergeCell ref="L31:N31"/>
    <mergeCell ref="X30:Y30"/>
    <mergeCell ref="Z30:AA30"/>
    <mergeCell ref="AB30:AC30"/>
    <mergeCell ref="AD30:AE30"/>
    <mergeCell ref="AF30:AG30"/>
    <mergeCell ref="AH30:AI30"/>
    <mergeCell ref="AQ29:AR29"/>
    <mergeCell ref="AS29:AT29"/>
    <mergeCell ref="A30:B30"/>
    <mergeCell ref="C30:D30"/>
    <mergeCell ref="E30:H30"/>
    <mergeCell ref="I30:K30"/>
    <mergeCell ref="L30:N30"/>
    <mergeCell ref="O30:Q30"/>
    <mergeCell ref="R30:T30"/>
    <mergeCell ref="U30:W30"/>
    <mergeCell ref="AD29:AE29"/>
    <mergeCell ref="AF29:AG29"/>
    <mergeCell ref="AH29:AI29"/>
    <mergeCell ref="AJ29:AK29"/>
    <mergeCell ref="AL29:AM29"/>
    <mergeCell ref="AN29:AP29"/>
    <mergeCell ref="O29:Q29"/>
    <mergeCell ref="R29:T29"/>
    <mergeCell ref="U29:W29"/>
    <mergeCell ref="X29:Y29"/>
    <mergeCell ref="Z29:AA29"/>
    <mergeCell ref="AB29:AC29"/>
    <mergeCell ref="AJ28:AK28"/>
    <mergeCell ref="AL28:AM28"/>
    <mergeCell ref="AN28:AP28"/>
    <mergeCell ref="AQ28:AR28"/>
    <mergeCell ref="AS28:AT28"/>
    <mergeCell ref="A29:B29"/>
    <mergeCell ref="C29:D29"/>
    <mergeCell ref="E29:H29"/>
    <mergeCell ref="I29:K29"/>
    <mergeCell ref="L29:N29"/>
    <mergeCell ref="X28:Y28"/>
    <mergeCell ref="Z28:AA28"/>
    <mergeCell ref="AB28:AC28"/>
    <mergeCell ref="AD28:AE28"/>
    <mergeCell ref="AF28:AG28"/>
    <mergeCell ref="AH28:AI28"/>
    <mergeCell ref="AQ27:AR27"/>
    <mergeCell ref="AS27:AT27"/>
    <mergeCell ref="A28:B28"/>
    <mergeCell ref="C28:D28"/>
    <mergeCell ref="E28:H28"/>
    <mergeCell ref="I28:K28"/>
    <mergeCell ref="L28:N28"/>
    <mergeCell ref="O28:Q28"/>
    <mergeCell ref="R28:T28"/>
    <mergeCell ref="U28:W28"/>
    <mergeCell ref="AD27:AE27"/>
    <mergeCell ref="AF27:AG27"/>
    <mergeCell ref="AH27:AI27"/>
    <mergeCell ref="AJ27:AK27"/>
    <mergeCell ref="AL27:AM27"/>
    <mergeCell ref="AN27:AP27"/>
    <mergeCell ref="O27:Q27"/>
    <mergeCell ref="R27:T27"/>
    <mergeCell ref="U27:W27"/>
    <mergeCell ref="X27:Y27"/>
    <mergeCell ref="Z27:AA27"/>
    <mergeCell ref="AB27:AC27"/>
    <mergeCell ref="AJ26:AK26"/>
    <mergeCell ref="AL26:AM26"/>
    <mergeCell ref="AN26:AP26"/>
    <mergeCell ref="AQ26:AR26"/>
    <mergeCell ref="AS26:AT26"/>
    <mergeCell ref="A27:B27"/>
    <mergeCell ref="C27:D27"/>
    <mergeCell ref="E27:H27"/>
    <mergeCell ref="I27:K27"/>
    <mergeCell ref="L27:N27"/>
    <mergeCell ref="X26:Y26"/>
    <mergeCell ref="Z26:AA26"/>
    <mergeCell ref="AB26:AC26"/>
    <mergeCell ref="AD26:AE26"/>
    <mergeCell ref="AF26:AG26"/>
    <mergeCell ref="AH26:AI26"/>
    <mergeCell ref="AQ25:AR25"/>
    <mergeCell ref="AS25:AT25"/>
    <mergeCell ref="A26:B26"/>
    <mergeCell ref="C26:D26"/>
    <mergeCell ref="E26:H26"/>
    <mergeCell ref="I26:K26"/>
    <mergeCell ref="L26:N26"/>
    <mergeCell ref="O26:Q26"/>
    <mergeCell ref="R26:T26"/>
    <mergeCell ref="U26:W26"/>
    <mergeCell ref="AD25:AE25"/>
    <mergeCell ref="AF25:AG25"/>
    <mergeCell ref="AH25:AI25"/>
    <mergeCell ref="AJ25:AK25"/>
    <mergeCell ref="AL25:AM25"/>
    <mergeCell ref="AN25:AP25"/>
    <mergeCell ref="O25:Q25"/>
    <mergeCell ref="R25:T25"/>
    <mergeCell ref="U25:W25"/>
    <mergeCell ref="X25:Y25"/>
    <mergeCell ref="Z25:AA25"/>
    <mergeCell ref="AB25:AC25"/>
    <mergeCell ref="AJ24:AK24"/>
    <mergeCell ref="AL24:AM24"/>
    <mergeCell ref="AN24:AP24"/>
    <mergeCell ref="AQ24:AR24"/>
    <mergeCell ref="AS24:AT24"/>
    <mergeCell ref="A25:B25"/>
    <mergeCell ref="C25:D25"/>
    <mergeCell ref="E25:H25"/>
    <mergeCell ref="I25:K25"/>
    <mergeCell ref="L25:N25"/>
    <mergeCell ref="X24:Y24"/>
    <mergeCell ref="Z24:AA24"/>
    <mergeCell ref="AB24:AC24"/>
    <mergeCell ref="AD24:AE24"/>
    <mergeCell ref="AF24:AG24"/>
    <mergeCell ref="AH24:AI24"/>
    <mergeCell ref="AQ23:AR23"/>
    <mergeCell ref="AS23:AT23"/>
    <mergeCell ref="A24:B24"/>
    <mergeCell ref="C24:D24"/>
    <mergeCell ref="E24:H24"/>
    <mergeCell ref="I24:K24"/>
    <mergeCell ref="L24:N24"/>
    <mergeCell ref="O24:Q24"/>
    <mergeCell ref="R24:T24"/>
    <mergeCell ref="U24:W24"/>
    <mergeCell ref="AD23:AE23"/>
    <mergeCell ref="AF23:AG23"/>
    <mergeCell ref="AH23:AI23"/>
    <mergeCell ref="AJ23:AK23"/>
    <mergeCell ref="AL23:AM23"/>
    <mergeCell ref="AN23:AP23"/>
    <mergeCell ref="O23:Q23"/>
    <mergeCell ref="R23:T23"/>
    <mergeCell ref="U23:W23"/>
    <mergeCell ref="X23:Y23"/>
    <mergeCell ref="Z23:AA23"/>
    <mergeCell ref="AB23:AC23"/>
    <mergeCell ref="AJ22:AK22"/>
    <mergeCell ref="AL22:AM22"/>
    <mergeCell ref="AN22:AP22"/>
    <mergeCell ref="AQ22:AR22"/>
    <mergeCell ref="AS22:AT22"/>
    <mergeCell ref="A23:B23"/>
    <mergeCell ref="C23:D23"/>
    <mergeCell ref="E23:H23"/>
    <mergeCell ref="I23:K23"/>
    <mergeCell ref="L23:N23"/>
    <mergeCell ref="X22:Y22"/>
    <mergeCell ref="Z22:AA22"/>
    <mergeCell ref="AB22:AC22"/>
    <mergeCell ref="AD22:AE22"/>
    <mergeCell ref="AF22:AG22"/>
    <mergeCell ref="AH22:AI22"/>
    <mergeCell ref="AQ21:AR21"/>
    <mergeCell ref="AS21:AT21"/>
    <mergeCell ref="A22:B22"/>
    <mergeCell ref="C22:D22"/>
    <mergeCell ref="E22:H22"/>
    <mergeCell ref="I22:K22"/>
    <mergeCell ref="L22:N22"/>
    <mergeCell ref="O22:Q22"/>
    <mergeCell ref="R22:T22"/>
    <mergeCell ref="U22:W22"/>
    <mergeCell ref="AD21:AE21"/>
    <mergeCell ref="AF21:AG21"/>
    <mergeCell ref="AH21:AI21"/>
    <mergeCell ref="AJ21:AK21"/>
    <mergeCell ref="AL21:AM21"/>
    <mergeCell ref="AN21:AP21"/>
    <mergeCell ref="O21:Q21"/>
    <mergeCell ref="R21:T21"/>
    <mergeCell ref="U21:W21"/>
    <mergeCell ref="X21:Y21"/>
    <mergeCell ref="Z21:AA21"/>
    <mergeCell ref="AB21:AC21"/>
    <mergeCell ref="AJ20:AK20"/>
    <mergeCell ref="AL20:AM20"/>
    <mergeCell ref="AN20:AP20"/>
    <mergeCell ref="AQ20:AR20"/>
    <mergeCell ref="AS20:AT20"/>
    <mergeCell ref="A21:B21"/>
    <mergeCell ref="C21:D21"/>
    <mergeCell ref="E21:H21"/>
    <mergeCell ref="I21:K21"/>
    <mergeCell ref="L21:N21"/>
    <mergeCell ref="X20:Y20"/>
    <mergeCell ref="Z20:AA20"/>
    <mergeCell ref="AB20:AC20"/>
    <mergeCell ref="AD20:AE20"/>
    <mergeCell ref="AF20:AG20"/>
    <mergeCell ref="AH20:AI20"/>
    <mergeCell ref="AQ19:AR19"/>
    <mergeCell ref="AS19:AT19"/>
    <mergeCell ref="A20:B20"/>
    <mergeCell ref="C20:D20"/>
    <mergeCell ref="E20:H20"/>
    <mergeCell ref="I20:K20"/>
    <mergeCell ref="L20:N20"/>
    <mergeCell ref="O20:Q20"/>
    <mergeCell ref="R20:T20"/>
    <mergeCell ref="U20:W20"/>
    <mergeCell ref="AD19:AE19"/>
    <mergeCell ref="AF19:AG19"/>
    <mergeCell ref="AH19:AI19"/>
    <mergeCell ref="AJ19:AK19"/>
    <mergeCell ref="AL19:AM19"/>
    <mergeCell ref="AN19:AP19"/>
    <mergeCell ref="O19:Q19"/>
    <mergeCell ref="R19:T19"/>
    <mergeCell ref="U19:W19"/>
    <mergeCell ref="X19:Y19"/>
    <mergeCell ref="Z19:AA19"/>
    <mergeCell ref="AB19:AC19"/>
    <mergeCell ref="AJ18:AK18"/>
    <mergeCell ref="AL18:AM18"/>
    <mergeCell ref="AN18:AP18"/>
    <mergeCell ref="AQ18:AR18"/>
    <mergeCell ref="AS18:AT18"/>
    <mergeCell ref="A19:B19"/>
    <mergeCell ref="C19:D19"/>
    <mergeCell ref="E19:H19"/>
    <mergeCell ref="I19:K19"/>
    <mergeCell ref="L19:N19"/>
    <mergeCell ref="X18:Y18"/>
    <mergeCell ref="Z18:AA18"/>
    <mergeCell ref="AB18:AC18"/>
    <mergeCell ref="AD18:AE18"/>
    <mergeCell ref="AF18:AG18"/>
    <mergeCell ref="AH18:AI18"/>
    <mergeCell ref="AQ17:AR17"/>
    <mergeCell ref="AS17:AT17"/>
    <mergeCell ref="A18:B18"/>
    <mergeCell ref="C18:D18"/>
    <mergeCell ref="E18:H18"/>
    <mergeCell ref="I18:K18"/>
    <mergeCell ref="L18:N18"/>
    <mergeCell ref="O18:Q18"/>
    <mergeCell ref="R18:T18"/>
    <mergeCell ref="U18:W18"/>
    <mergeCell ref="AD17:AE17"/>
    <mergeCell ref="AF17:AG17"/>
    <mergeCell ref="AH17:AI17"/>
    <mergeCell ref="AJ17:AK17"/>
    <mergeCell ref="AL17:AM17"/>
    <mergeCell ref="AN17:AP17"/>
    <mergeCell ref="O17:Q17"/>
    <mergeCell ref="R17:T17"/>
    <mergeCell ref="U17:W17"/>
    <mergeCell ref="X17:Y17"/>
    <mergeCell ref="Z17:AA17"/>
    <mergeCell ref="AB17:AC17"/>
    <mergeCell ref="AJ16:AK16"/>
    <mergeCell ref="AL16:AM16"/>
    <mergeCell ref="AN16:AP16"/>
    <mergeCell ref="AQ16:AR16"/>
    <mergeCell ref="AS16:AT16"/>
    <mergeCell ref="A17:B17"/>
    <mergeCell ref="C17:D17"/>
    <mergeCell ref="E17:H17"/>
    <mergeCell ref="I17:K17"/>
    <mergeCell ref="L17:N17"/>
    <mergeCell ref="X16:Y16"/>
    <mergeCell ref="Z16:AA16"/>
    <mergeCell ref="AB16:AC16"/>
    <mergeCell ref="AD16:AE16"/>
    <mergeCell ref="AF16:AG16"/>
    <mergeCell ref="AH16:AI16"/>
    <mergeCell ref="AQ15:AR15"/>
    <mergeCell ref="AS15:AT15"/>
    <mergeCell ref="A16:B16"/>
    <mergeCell ref="C16:D16"/>
    <mergeCell ref="E16:H16"/>
    <mergeCell ref="I16:K16"/>
    <mergeCell ref="L16:N16"/>
    <mergeCell ref="O16:Q16"/>
    <mergeCell ref="R16:T16"/>
    <mergeCell ref="U16:W16"/>
    <mergeCell ref="AD15:AE15"/>
    <mergeCell ref="AF15:AG15"/>
    <mergeCell ref="AH15:AI15"/>
    <mergeCell ref="AJ15:AK15"/>
    <mergeCell ref="AL15:AM15"/>
    <mergeCell ref="AN15:AP15"/>
    <mergeCell ref="O15:Q15"/>
    <mergeCell ref="R15:T15"/>
    <mergeCell ref="U15:W15"/>
    <mergeCell ref="X15:Y15"/>
    <mergeCell ref="Z15:AA15"/>
    <mergeCell ref="AB15:AC15"/>
    <mergeCell ref="AJ14:AK14"/>
    <mergeCell ref="AL14:AM14"/>
    <mergeCell ref="AN14:AP14"/>
    <mergeCell ref="AQ14:AR14"/>
    <mergeCell ref="AS14:AT14"/>
    <mergeCell ref="A15:B15"/>
    <mergeCell ref="C15:D15"/>
    <mergeCell ref="E15:H15"/>
    <mergeCell ref="I15:K15"/>
    <mergeCell ref="L15:N15"/>
    <mergeCell ref="X14:Y14"/>
    <mergeCell ref="Z14:AA14"/>
    <mergeCell ref="AB14:AC14"/>
    <mergeCell ref="AD14:AE14"/>
    <mergeCell ref="AF14:AG14"/>
    <mergeCell ref="AH14:AI14"/>
    <mergeCell ref="AQ13:AR13"/>
    <mergeCell ref="AS13:AT13"/>
    <mergeCell ref="A14:B14"/>
    <mergeCell ref="C14:D14"/>
    <mergeCell ref="E14:H14"/>
    <mergeCell ref="I14:K14"/>
    <mergeCell ref="L14:N14"/>
    <mergeCell ref="O14:Q14"/>
    <mergeCell ref="R14:T14"/>
    <mergeCell ref="U14:W14"/>
    <mergeCell ref="AD13:AE13"/>
    <mergeCell ref="AF13:AG13"/>
    <mergeCell ref="AH13:AI13"/>
    <mergeCell ref="AJ13:AK13"/>
    <mergeCell ref="AL13:AM13"/>
    <mergeCell ref="AN13:AP13"/>
    <mergeCell ref="O13:Q13"/>
    <mergeCell ref="R13:T13"/>
    <mergeCell ref="U13:W13"/>
    <mergeCell ref="X13:Y13"/>
    <mergeCell ref="Z13:AA13"/>
    <mergeCell ref="AB13:AC13"/>
    <mergeCell ref="AJ11:AK12"/>
    <mergeCell ref="AL11:AM12"/>
    <mergeCell ref="AD12:AE12"/>
    <mergeCell ref="AQ12:AR12"/>
    <mergeCell ref="AS12:AT12"/>
    <mergeCell ref="A13:B13"/>
    <mergeCell ref="C13:D13"/>
    <mergeCell ref="E13:H13"/>
    <mergeCell ref="I13:K13"/>
    <mergeCell ref="L13:N13"/>
    <mergeCell ref="AN10:AP12"/>
    <mergeCell ref="AQ10:AR11"/>
    <mergeCell ref="AS10:AT11"/>
    <mergeCell ref="I11:K12"/>
    <mergeCell ref="L11:N12"/>
    <mergeCell ref="O11:Q12"/>
    <mergeCell ref="R11:T12"/>
    <mergeCell ref="U11:W12"/>
    <mergeCell ref="X11:Y12"/>
    <mergeCell ref="Z11:AA12"/>
    <mergeCell ref="A10:B12"/>
    <mergeCell ref="C10:D12"/>
    <mergeCell ref="E10:H12"/>
    <mergeCell ref="I10:N10"/>
    <mergeCell ref="O10:W10"/>
    <mergeCell ref="X10:AM10"/>
    <mergeCell ref="AB11:AC12"/>
    <mergeCell ref="AD11:AE11"/>
    <mergeCell ref="AF11:AG12"/>
    <mergeCell ref="AH11:AI12"/>
    <mergeCell ref="AK7:AO7"/>
    <mergeCell ref="AP7:AT7"/>
    <mergeCell ref="A8:G8"/>
    <mergeCell ref="H8:N8"/>
    <mergeCell ref="O8:U8"/>
    <mergeCell ref="V8:Z8"/>
    <mergeCell ref="AA8:AE8"/>
    <mergeCell ref="AF8:AJ8"/>
    <mergeCell ref="AK8:AO8"/>
    <mergeCell ref="AP8:AT8"/>
    <mergeCell ref="A7:G7"/>
    <mergeCell ref="H7:N7"/>
    <mergeCell ref="O7:U7"/>
    <mergeCell ref="V7:Z7"/>
    <mergeCell ref="AA7:AE7"/>
    <mergeCell ref="AF7:AJ7"/>
    <mergeCell ref="A6:H6"/>
    <mergeCell ref="I6:P6"/>
    <mergeCell ref="Q6:X6"/>
    <mergeCell ref="Y6:AF6"/>
    <mergeCell ref="AG6:AN6"/>
    <mergeCell ref="AO6:AT6"/>
    <mergeCell ref="W3:Z3"/>
    <mergeCell ref="AA3:AP3"/>
    <mergeCell ref="A5:H5"/>
    <mergeCell ref="I5:P5"/>
    <mergeCell ref="Q5:X5"/>
    <mergeCell ref="Y5:AF5"/>
    <mergeCell ref="AG5:AN5"/>
    <mergeCell ref="AO5:AT5"/>
    <mergeCell ref="A1:B1"/>
    <mergeCell ref="D1:E1"/>
    <mergeCell ref="A3:C3"/>
    <mergeCell ref="D3:F3"/>
    <mergeCell ref="G3:I3"/>
    <mergeCell ref="J3:V3"/>
  </mergeCells>
  <phoneticPr fontId="4"/>
  <conditionalFormatting sqref="A13:D43">
    <cfRule type="expression" dxfId="2" priority="2" stopIfTrue="1">
      <formula>WEEKDAY(A13)=1</formula>
    </cfRule>
    <cfRule type="expression" dxfId="1" priority="3" stopIfTrue="1">
      <formula>WEEKDAY(A13)=7</formula>
    </cfRule>
  </conditionalFormatting>
  <conditionalFormatting sqref="E13:W43">
    <cfRule type="expression" dxfId="0" priority="1">
      <formula>$E13="休日"</formula>
    </cfRule>
  </conditionalFormatting>
  <dataValidations count="3">
    <dataValidation imeMode="on" allowBlank="1" showInputMessage="1" showErrorMessage="1" sqref="AA3 J3" xr:uid="{4960800E-D5E9-4242-8B15-26070444DFC7}"/>
    <dataValidation imeMode="off" allowBlank="1" showInputMessage="1" showErrorMessage="1" sqref="D1:E1 D3:F3 I1 A1:B1 AW12:AW65536 I13:N351" xr:uid="{8BF268F5-461D-4988-8E99-7E1E9A1F7ACF}"/>
    <dataValidation type="list" allowBlank="1" showInputMessage="1" showErrorMessage="1" sqref="E13:H43" xr:uid="{CF8314BC-0805-48C3-BD1B-3C9DD1730077}">
      <formula1>$AV$14:$AV$23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使い方</vt:lpstr>
      <vt:lpstr>末日締</vt:lpstr>
      <vt:lpstr>20日締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yharaguchi</dc:creator>
  <cp:lastModifiedBy>yharaguchi</cp:lastModifiedBy>
  <dcterms:created xsi:type="dcterms:W3CDTF">2024-02-21T08:00:49Z</dcterms:created>
  <dcterms:modified xsi:type="dcterms:W3CDTF">2024-02-21T08:08:26Z</dcterms:modified>
</cp:coreProperties>
</file>